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206585422452/WOPIServiceId_TP_BOX_2/WOPIUserId_-/"/>
    </mc:Choice>
  </mc:AlternateContent>
  <xr:revisionPtr revIDLastSave="79" documentId="8_{4ABF25B9-98A9-4B16-8272-A74133932EC5}" xr6:coauthVersionLast="47" xr6:coauthVersionMax="47" xr10:uidLastSave="{310F6852-2EF3-4AAA-BF7E-F97971D9EADE}"/>
  <bookViews>
    <workbookView xWindow="-120" yWindow="-120" windowWidth="29040" windowHeight="15840" xr2:uid="{F981B01B-61DF-4334-9192-3FBB48E9B94C}"/>
  </bookViews>
  <sheets>
    <sheet name="README" sheetId="19" r:id="rId1"/>
    <sheet name="Baseline_CO2" sheetId="3" r:id="rId2"/>
    <sheet name="Baseline_Energy" sheetId="5" r:id="rId3"/>
    <sheet name="75%Chiller_Energy" sheetId="6" r:id="rId4"/>
    <sheet name="50%Chiller_Energy" sheetId="7" r:id="rId5"/>
    <sheet name="25%Chiller_Energy" sheetId="8" r:id="rId6"/>
    <sheet name="5Barrel_CO2" sheetId="9" r:id="rId7"/>
    <sheet name="5Barrel_Energy" sheetId="10" r:id="rId8"/>
    <sheet name="10Barrel_CO2" sheetId="11" r:id="rId9"/>
    <sheet name="10Barrel_Energy" sheetId="12" r:id="rId10"/>
    <sheet name="20Barrel_CO2" sheetId="13" r:id="rId11"/>
    <sheet name="20Barrel_Energy" sheetId="14" r:id="rId12"/>
    <sheet name="2GPM_Energy" sheetId="15" r:id="rId13"/>
    <sheet name="0.5GPM_Energy" sheetId="16" r:id="rId14"/>
    <sheet name="0.25GPM_Energy" sheetId="17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2" i="17" l="1"/>
  <c r="C27" i="17"/>
  <c r="D27" i="17" s="1"/>
  <c r="I27" i="17" s="1"/>
  <c r="D26" i="17"/>
  <c r="I26" i="17" s="1"/>
  <c r="C26" i="17"/>
  <c r="C25" i="17"/>
  <c r="D25" i="17" s="1"/>
  <c r="I25" i="17" s="1"/>
  <c r="O24" i="17"/>
  <c r="C24" i="17"/>
  <c r="D24" i="17" s="1"/>
  <c r="I24" i="17" s="1"/>
  <c r="F23" i="17"/>
  <c r="D23" i="17"/>
  <c r="C23" i="17"/>
  <c r="F19" i="17"/>
  <c r="C19" i="17"/>
  <c r="J19" i="17" s="1"/>
  <c r="C18" i="17"/>
  <c r="O17" i="17"/>
  <c r="J17" i="17"/>
  <c r="H17" i="17"/>
  <c r="I17" i="17" s="1"/>
  <c r="F17" i="17"/>
  <c r="C17" i="17"/>
  <c r="C16" i="17"/>
  <c r="O15" i="17"/>
  <c r="F15" i="17"/>
  <c r="C15" i="17"/>
  <c r="J15" i="17" s="1"/>
  <c r="F14" i="17"/>
  <c r="C14" i="17"/>
  <c r="J14" i="17" s="1"/>
  <c r="H13" i="17"/>
  <c r="C13" i="17"/>
  <c r="F12" i="17"/>
  <c r="C12" i="17"/>
  <c r="H12" i="17" s="1"/>
  <c r="H11" i="17"/>
  <c r="F11" i="17"/>
  <c r="C11" i="17"/>
  <c r="J11" i="17" s="1"/>
  <c r="C10" i="17"/>
  <c r="O9" i="17"/>
  <c r="D31" i="17" s="1"/>
  <c r="C9" i="17"/>
  <c r="H9" i="17" s="1"/>
  <c r="O8" i="17"/>
  <c r="H18" i="17" s="1"/>
  <c r="I18" i="17" s="1"/>
  <c r="F8" i="17"/>
  <c r="C8" i="17"/>
  <c r="J8" i="17" s="1"/>
  <c r="H7" i="17"/>
  <c r="I7" i="17" s="1"/>
  <c r="K7" i="17" s="1"/>
  <c r="L7" i="17" s="1"/>
  <c r="F7" i="17"/>
  <c r="C7" i="17"/>
  <c r="J7" i="17" s="1"/>
  <c r="H6" i="17"/>
  <c r="F6" i="17"/>
  <c r="C6" i="17"/>
  <c r="J6" i="17" s="1"/>
  <c r="O5" i="17"/>
  <c r="O6" i="17" s="1"/>
  <c r="C5" i="17"/>
  <c r="H5" i="17" s="1"/>
  <c r="I5" i="17" s="1"/>
  <c r="L4" i="17" s="1"/>
  <c r="C4" i="17"/>
  <c r="H4" i="17" s="1"/>
  <c r="I4" i="17" s="1"/>
  <c r="H3" i="17"/>
  <c r="I3" i="17" s="1"/>
  <c r="K3" i="17" s="1"/>
  <c r="L3" i="17" s="1"/>
  <c r="F3" i="17"/>
  <c r="C3" i="17"/>
  <c r="J3" i="17" s="1"/>
  <c r="C32" i="16"/>
  <c r="C27" i="16"/>
  <c r="D27" i="16" s="1"/>
  <c r="I27" i="16" s="1"/>
  <c r="D26" i="16"/>
  <c r="I26" i="16" s="1"/>
  <c r="C26" i="16"/>
  <c r="C25" i="16"/>
  <c r="D25" i="16" s="1"/>
  <c r="I25" i="16" s="1"/>
  <c r="O24" i="16"/>
  <c r="C24" i="16"/>
  <c r="D24" i="16" s="1"/>
  <c r="I24" i="16" s="1"/>
  <c r="F23" i="16"/>
  <c r="D23" i="16"/>
  <c r="C23" i="16"/>
  <c r="F19" i="16"/>
  <c r="C19" i="16"/>
  <c r="J19" i="16" s="1"/>
  <c r="C18" i="16"/>
  <c r="O17" i="16"/>
  <c r="J17" i="16"/>
  <c r="H17" i="16"/>
  <c r="I17" i="16" s="1"/>
  <c r="F17" i="16"/>
  <c r="C17" i="16"/>
  <c r="C16" i="16"/>
  <c r="O15" i="16"/>
  <c r="F15" i="16"/>
  <c r="C15" i="16"/>
  <c r="J15" i="16" s="1"/>
  <c r="F14" i="16"/>
  <c r="C14" i="16"/>
  <c r="J14" i="16" s="1"/>
  <c r="H13" i="16"/>
  <c r="I13" i="16" s="1"/>
  <c r="C13" i="16"/>
  <c r="F12" i="16"/>
  <c r="C12" i="16"/>
  <c r="J12" i="16" s="1"/>
  <c r="F11" i="16"/>
  <c r="C11" i="16"/>
  <c r="J11" i="16" s="1"/>
  <c r="C10" i="16"/>
  <c r="O9" i="16"/>
  <c r="D31" i="16" s="1"/>
  <c r="C9" i="16"/>
  <c r="O8" i="16"/>
  <c r="H18" i="16" s="1"/>
  <c r="I18" i="16" s="1"/>
  <c r="F8" i="16"/>
  <c r="C8" i="16"/>
  <c r="H8" i="16" s="1"/>
  <c r="I8" i="16" s="1"/>
  <c r="K8" i="16" s="1"/>
  <c r="L8" i="16" s="1"/>
  <c r="H7" i="16"/>
  <c r="F7" i="16"/>
  <c r="C7" i="16"/>
  <c r="J7" i="16" s="1"/>
  <c r="H6" i="16"/>
  <c r="F6" i="16"/>
  <c r="C6" i="16"/>
  <c r="J6" i="16" s="1"/>
  <c r="O5" i="16"/>
  <c r="O6" i="16" s="1"/>
  <c r="C5" i="16"/>
  <c r="H5" i="16" s="1"/>
  <c r="I5" i="16" s="1"/>
  <c r="L4" i="16" s="1"/>
  <c r="C4" i="16"/>
  <c r="H4" i="16" s="1"/>
  <c r="I4" i="16" s="1"/>
  <c r="H3" i="16"/>
  <c r="I3" i="16" s="1"/>
  <c r="K3" i="16" s="1"/>
  <c r="L3" i="16" s="1"/>
  <c r="F3" i="16"/>
  <c r="C3" i="16"/>
  <c r="J3" i="16" s="1"/>
  <c r="C32" i="15"/>
  <c r="C27" i="15"/>
  <c r="D27" i="15" s="1"/>
  <c r="I27" i="15" s="1"/>
  <c r="D26" i="15"/>
  <c r="I26" i="15" s="1"/>
  <c r="C26" i="15"/>
  <c r="C25" i="15"/>
  <c r="D25" i="15" s="1"/>
  <c r="I25" i="15" s="1"/>
  <c r="O24" i="15"/>
  <c r="C24" i="15"/>
  <c r="D24" i="15" s="1"/>
  <c r="I24" i="15" s="1"/>
  <c r="F23" i="15"/>
  <c r="D23" i="15"/>
  <c r="C23" i="15"/>
  <c r="F19" i="15"/>
  <c r="C19" i="15"/>
  <c r="J19" i="15" s="1"/>
  <c r="C18" i="15"/>
  <c r="O17" i="15"/>
  <c r="J17" i="15"/>
  <c r="H17" i="15"/>
  <c r="I17" i="15" s="1"/>
  <c r="F17" i="15"/>
  <c r="C17" i="15"/>
  <c r="C16" i="15"/>
  <c r="O15" i="15"/>
  <c r="F15" i="15"/>
  <c r="C15" i="15"/>
  <c r="J15" i="15" s="1"/>
  <c r="F14" i="15"/>
  <c r="C14" i="15"/>
  <c r="J14" i="15" s="1"/>
  <c r="H13" i="15"/>
  <c r="I13" i="15" s="1"/>
  <c r="C13" i="15"/>
  <c r="F12" i="15"/>
  <c r="C12" i="15"/>
  <c r="H12" i="15" s="1"/>
  <c r="I12" i="15" s="1"/>
  <c r="K12" i="15" s="1"/>
  <c r="L12" i="15" s="1"/>
  <c r="F11" i="15"/>
  <c r="C11" i="15"/>
  <c r="J11" i="15" s="1"/>
  <c r="C10" i="15"/>
  <c r="O9" i="15"/>
  <c r="D31" i="15" s="1"/>
  <c r="C9" i="15"/>
  <c r="O8" i="15"/>
  <c r="H18" i="15" s="1"/>
  <c r="I18" i="15" s="1"/>
  <c r="F8" i="15"/>
  <c r="C8" i="15"/>
  <c r="J8" i="15" s="1"/>
  <c r="H7" i="15"/>
  <c r="I7" i="15" s="1"/>
  <c r="K7" i="15" s="1"/>
  <c r="L7" i="15" s="1"/>
  <c r="F7" i="15"/>
  <c r="C7" i="15"/>
  <c r="J7" i="15" s="1"/>
  <c r="H6" i="15"/>
  <c r="I6" i="15" s="1"/>
  <c r="F6" i="15"/>
  <c r="C6" i="15"/>
  <c r="J6" i="15" s="1"/>
  <c r="O5" i="15"/>
  <c r="O6" i="15" s="1"/>
  <c r="C5" i="15"/>
  <c r="H5" i="15" s="1"/>
  <c r="I5" i="15" s="1"/>
  <c r="L4" i="15" s="1"/>
  <c r="C4" i="15"/>
  <c r="H4" i="15" s="1"/>
  <c r="I4" i="15" s="1"/>
  <c r="H3" i="15"/>
  <c r="I3" i="15" s="1"/>
  <c r="K3" i="15" s="1"/>
  <c r="L3" i="15" s="1"/>
  <c r="F3" i="15"/>
  <c r="C3" i="15"/>
  <c r="J3" i="15" s="1"/>
  <c r="H23" i="14"/>
  <c r="G23" i="14" a="1"/>
  <c r="G23" i="14" s="1"/>
  <c r="D23" i="14"/>
  <c r="C23" i="14"/>
  <c r="C32" i="14"/>
  <c r="C27" i="14"/>
  <c r="D27" i="14" s="1"/>
  <c r="I27" i="14" s="1"/>
  <c r="D26" i="14"/>
  <c r="I26" i="14" s="1"/>
  <c r="C26" i="14"/>
  <c r="C25" i="14"/>
  <c r="D25" i="14" s="1"/>
  <c r="I25" i="14" s="1"/>
  <c r="C24" i="14"/>
  <c r="D24" i="14" s="1"/>
  <c r="I24" i="14" s="1"/>
  <c r="F23" i="14"/>
  <c r="F19" i="14"/>
  <c r="C19" i="14"/>
  <c r="J19" i="14" s="1"/>
  <c r="C18" i="14"/>
  <c r="O17" i="14"/>
  <c r="J17" i="14"/>
  <c r="H17" i="14"/>
  <c r="I17" i="14" s="1"/>
  <c r="F17" i="14"/>
  <c r="C17" i="14"/>
  <c r="C16" i="14"/>
  <c r="F15" i="14"/>
  <c r="C15" i="14"/>
  <c r="J15" i="14" s="1"/>
  <c r="O14" i="14"/>
  <c r="O24" i="14" s="1"/>
  <c r="F14" i="14"/>
  <c r="C14" i="14"/>
  <c r="J14" i="14" s="1"/>
  <c r="C13" i="14"/>
  <c r="J12" i="14"/>
  <c r="H12" i="14"/>
  <c r="F12" i="14"/>
  <c r="C12" i="14"/>
  <c r="F11" i="14"/>
  <c r="C11" i="14"/>
  <c r="J11" i="14" s="1"/>
  <c r="C10" i="14"/>
  <c r="O9" i="14"/>
  <c r="D31" i="14" s="1"/>
  <c r="H9" i="14"/>
  <c r="I9" i="14" s="1"/>
  <c r="C9" i="14"/>
  <c r="O8" i="14"/>
  <c r="H18" i="14" s="1"/>
  <c r="I18" i="14" s="1"/>
  <c r="J8" i="14"/>
  <c r="H8" i="14"/>
  <c r="F8" i="14"/>
  <c r="C8" i="14"/>
  <c r="F7" i="14"/>
  <c r="C7" i="14"/>
  <c r="J7" i="14" s="1"/>
  <c r="F6" i="14"/>
  <c r="C6" i="14"/>
  <c r="H6" i="14" s="1"/>
  <c r="I6" i="14" s="1"/>
  <c r="O5" i="14"/>
  <c r="O6" i="14" s="1"/>
  <c r="H5" i="14"/>
  <c r="I5" i="14" s="1"/>
  <c r="L4" i="14" s="1"/>
  <c r="C5" i="14"/>
  <c r="H4" i="14"/>
  <c r="I4" i="14" s="1"/>
  <c r="C4" i="14"/>
  <c r="F3" i="14"/>
  <c r="C3" i="14"/>
  <c r="J3" i="14" s="1"/>
  <c r="G20" i="13"/>
  <c r="C20" i="13"/>
  <c r="B20" i="13"/>
  <c r="E19" i="13"/>
  <c r="G18" i="13"/>
  <c r="C13" i="13"/>
  <c r="D14" i="13" s="1"/>
  <c r="E14" i="13" s="1"/>
  <c r="B19" i="13" s="1"/>
  <c r="C12" i="13"/>
  <c r="O10" i="13"/>
  <c r="D3" i="13" s="1"/>
  <c r="D8" i="13"/>
  <c r="O6" i="13"/>
  <c r="F5" i="13" s="1"/>
  <c r="G5" i="13"/>
  <c r="F4" i="13"/>
  <c r="G3" i="13"/>
  <c r="C32" i="12"/>
  <c r="C27" i="12"/>
  <c r="D27" i="12" s="1"/>
  <c r="I27" i="12" s="1"/>
  <c r="D26" i="12"/>
  <c r="I26" i="12" s="1"/>
  <c r="C26" i="12"/>
  <c r="C25" i="12"/>
  <c r="D25" i="12" s="1"/>
  <c r="I25" i="12" s="1"/>
  <c r="O24" i="12"/>
  <c r="C24" i="12"/>
  <c r="D24" i="12" s="1"/>
  <c r="I24" i="12" s="1"/>
  <c r="F23" i="12"/>
  <c r="D23" i="12"/>
  <c r="C23" i="12"/>
  <c r="F19" i="12"/>
  <c r="C19" i="12"/>
  <c r="J19" i="12" s="1"/>
  <c r="C18" i="12"/>
  <c r="O17" i="12"/>
  <c r="J17" i="12"/>
  <c r="H17" i="12"/>
  <c r="I17" i="12" s="1"/>
  <c r="F17" i="12"/>
  <c r="C17" i="12"/>
  <c r="C16" i="12"/>
  <c r="H16" i="12" s="1"/>
  <c r="F15" i="12"/>
  <c r="C15" i="12"/>
  <c r="J15" i="12" s="1"/>
  <c r="O14" i="12"/>
  <c r="O15" i="12" s="1"/>
  <c r="F14" i="12"/>
  <c r="C14" i="12"/>
  <c r="J14" i="12" s="1"/>
  <c r="C13" i="12"/>
  <c r="J12" i="12"/>
  <c r="F12" i="12"/>
  <c r="C12" i="12"/>
  <c r="F11" i="12"/>
  <c r="C11" i="12"/>
  <c r="J11" i="12" s="1"/>
  <c r="C10" i="12"/>
  <c r="O9" i="12"/>
  <c r="D31" i="12" s="1"/>
  <c r="H9" i="12"/>
  <c r="I9" i="12" s="1"/>
  <c r="C9" i="12"/>
  <c r="O8" i="12"/>
  <c r="H18" i="12" s="1"/>
  <c r="J8" i="12"/>
  <c r="F8" i="12"/>
  <c r="C8" i="12"/>
  <c r="H8" i="12" s="1"/>
  <c r="I8" i="12" s="1"/>
  <c r="K8" i="12" s="1"/>
  <c r="L8" i="12" s="1"/>
  <c r="F7" i="12"/>
  <c r="C7" i="12"/>
  <c r="H7" i="12" s="1"/>
  <c r="I7" i="12" s="1"/>
  <c r="K7" i="12" s="1"/>
  <c r="L7" i="12" s="1"/>
  <c r="F6" i="12"/>
  <c r="C6" i="12"/>
  <c r="H6" i="12" s="1"/>
  <c r="I6" i="12" s="1"/>
  <c r="O5" i="12"/>
  <c r="O6" i="12" s="1"/>
  <c r="C5" i="12"/>
  <c r="H5" i="12" s="1"/>
  <c r="H4" i="12"/>
  <c r="I4" i="12" s="1"/>
  <c r="C4" i="12"/>
  <c r="F3" i="12"/>
  <c r="C3" i="12"/>
  <c r="J3" i="12" s="1"/>
  <c r="G20" i="11"/>
  <c r="B20" i="11"/>
  <c r="C20" i="11" s="1"/>
  <c r="E19" i="11"/>
  <c r="G18" i="11"/>
  <c r="C13" i="11"/>
  <c r="D14" i="11" s="1"/>
  <c r="E14" i="11" s="1"/>
  <c r="B19" i="11" s="1"/>
  <c r="C12" i="11"/>
  <c r="O10" i="11"/>
  <c r="E8" i="11"/>
  <c r="D8" i="11"/>
  <c r="J8" i="11" s="1"/>
  <c r="O6" i="11"/>
  <c r="G5" i="11"/>
  <c r="F5" i="11"/>
  <c r="G4" i="11"/>
  <c r="F4" i="11"/>
  <c r="G3" i="11"/>
  <c r="F3" i="11"/>
  <c r="D3" i="11"/>
  <c r="E3" i="11" s="1"/>
  <c r="I3" i="11" s="1"/>
  <c r="J3" i="11" s="1"/>
  <c r="C32" i="10"/>
  <c r="C27" i="10"/>
  <c r="D27" i="10" s="1"/>
  <c r="I27" i="10" s="1"/>
  <c r="D26" i="10"/>
  <c r="I26" i="10" s="1"/>
  <c r="C26" i="10"/>
  <c r="C25" i="10"/>
  <c r="D25" i="10" s="1"/>
  <c r="I25" i="10" s="1"/>
  <c r="C24" i="10"/>
  <c r="D24" i="10" s="1"/>
  <c r="I24" i="10" s="1"/>
  <c r="F23" i="10"/>
  <c r="C23" i="10"/>
  <c r="D23" i="10" s="1"/>
  <c r="H19" i="10"/>
  <c r="F19" i="10"/>
  <c r="C19" i="10"/>
  <c r="J19" i="10" s="1"/>
  <c r="C18" i="10"/>
  <c r="O17" i="10"/>
  <c r="J17" i="10"/>
  <c r="H17" i="10"/>
  <c r="F17" i="10"/>
  <c r="C17" i="10"/>
  <c r="C16" i="10"/>
  <c r="H15" i="10"/>
  <c r="F15" i="10"/>
  <c r="C15" i="10"/>
  <c r="J15" i="10" s="1"/>
  <c r="O14" i="10"/>
  <c r="O24" i="10" s="1"/>
  <c r="H14" i="10"/>
  <c r="I14" i="10" s="1"/>
  <c r="F14" i="10"/>
  <c r="C14" i="10"/>
  <c r="J14" i="10" s="1"/>
  <c r="C13" i="10"/>
  <c r="F12" i="10"/>
  <c r="C12" i="10"/>
  <c r="J12" i="10" s="1"/>
  <c r="F11" i="10"/>
  <c r="C11" i="10"/>
  <c r="J11" i="10" s="1"/>
  <c r="C10" i="10"/>
  <c r="H9" i="10"/>
  <c r="I9" i="10" s="1"/>
  <c r="C9" i="10"/>
  <c r="O8" i="10"/>
  <c r="H18" i="10" s="1"/>
  <c r="H8" i="10"/>
  <c r="I8" i="10" s="1"/>
  <c r="K8" i="10" s="1"/>
  <c r="L8" i="10" s="1"/>
  <c r="F8" i="10"/>
  <c r="C8" i="10"/>
  <c r="J8" i="10" s="1"/>
  <c r="F7" i="10"/>
  <c r="C7" i="10"/>
  <c r="J7" i="10" s="1"/>
  <c r="F6" i="10"/>
  <c r="C6" i="10"/>
  <c r="J6" i="10" s="1"/>
  <c r="O5" i="10"/>
  <c r="O6" i="10" s="1"/>
  <c r="H5" i="10"/>
  <c r="I5" i="10" s="1"/>
  <c r="L4" i="10" s="1"/>
  <c r="C5" i="10"/>
  <c r="H4" i="10"/>
  <c r="I4" i="10" s="1"/>
  <c r="C4" i="10"/>
  <c r="F3" i="10"/>
  <c r="C3" i="10"/>
  <c r="J3" i="10" s="1"/>
  <c r="G20" i="9"/>
  <c r="B20" i="9"/>
  <c r="C20" i="9" s="1"/>
  <c r="E19" i="9"/>
  <c r="G18" i="9"/>
  <c r="C13" i="9"/>
  <c r="D14" i="9" s="1"/>
  <c r="E14" i="9" s="1"/>
  <c r="B19" i="9" s="1"/>
  <c r="C12" i="9"/>
  <c r="O10" i="9"/>
  <c r="E8" i="9"/>
  <c r="D8" i="9"/>
  <c r="J8" i="9" s="1"/>
  <c r="O6" i="9"/>
  <c r="G5" i="9"/>
  <c r="F5" i="9"/>
  <c r="G4" i="9"/>
  <c r="F4" i="9"/>
  <c r="G3" i="9"/>
  <c r="F3" i="9"/>
  <c r="E3" i="9"/>
  <c r="I3" i="9" s="1"/>
  <c r="J3" i="9" s="1"/>
  <c r="D3" i="9"/>
  <c r="D5" i="9" s="1"/>
  <c r="C32" i="8"/>
  <c r="C27" i="8"/>
  <c r="D27" i="8" s="1"/>
  <c r="I27" i="8" s="1"/>
  <c r="C26" i="8"/>
  <c r="D26" i="8" s="1"/>
  <c r="I26" i="8" s="1"/>
  <c r="C25" i="8"/>
  <c r="D25" i="8" s="1"/>
  <c r="I25" i="8" s="1"/>
  <c r="O24" i="8"/>
  <c r="C24" i="8"/>
  <c r="D24" i="8" s="1"/>
  <c r="I24" i="8" s="1"/>
  <c r="F23" i="8"/>
  <c r="D23" i="8"/>
  <c r="C23" i="8"/>
  <c r="F19" i="8"/>
  <c r="C19" i="8"/>
  <c r="J19" i="8" s="1"/>
  <c r="C18" i="8"/>
  <c r="O17" i="8"/>
  <c r="J17" i="8"/>
  <c r="F17" i="8"/>
  <c r="C17" i="8"/>
  <c r="C16" i="8"/>
  <c r="O15" i="8"/>
  <c r="F15" i="8"/>
  <c r="C15" i="8"/>
  <c r="J15" i="8" s="1"/>
  <c r="J14" i="8"/>
  <c r="F14" i="8"/>
  <c r="C14" i="8"/>
  <c r="C13" i="8"/>
  <c r="F12" i="8"/>
  <c r="C12" i="8"/>
  <c r="J12" i="8" s="1"/>
  <c r="F11" i="8"/>
  <c r="C11" i="8"/>
  <c r="J11" i="8" s="1"/>
  <c r="C10" i="8"/>
  <c r="C9" i="8"/>
  <c r="O8" i="8"/>
  <c r="H10" i="8" s="1"/>
  <c r="I10" i="8" s="1"/>
  <c r="L9" i="8" s="1"/>
  <c r="F8" i="8"/>
  <c r="C8" i="8"/>
  <c r="J8" i="8" s="1"/>
  <c r="F7" i="8"/>
  <c r="C7" i="8"/>
  <c r="J7" i="8" s="1"/>
  <c r="F6" i="8"/>
  <c r="C6" i="8"/>
  <c r="J6" i="8" s="1"/>
  <c r="O5" i="8"/>
  <c r="O6" i="8" s="1"/>
  <c r="C5" i="8"/>
  <c r="C4" i="8"/>
  <c r="F3" i="8"/>
  <c r="C3" i="8"/>
  <c r="J3" i="8" s="1"/>
  <c r="C32" i="7"/>
  <c r="C27" i="7"/>
  <c r="D27" i="7" s="1"/>
  <c r="I27" i="7" s="1"/>
  <c r="D26" i="7"/>
  <c r="I26" i="7" s="1"/>
  <c r="C26" i="7"/>
  <c r="C25" i="7"/>
  <c r="D25" i="7" s="1"/>
  <c r="I25" i="7" s="1"/>
  <c r="O24" i="7"/>
  <c r="C24" i="7"/>
  <c r="D24" i="7" s="1"/>
  <c r="I24" i="7" s="1"/>
  <c r="F23" i="7"/>
  <c r="D23" i="7"/>
  <c r="C23" i="7"/>
  <c r="F19" i="7"/>
  <c r="C19" i="7"/>
  <c r="J19" i="7" s="1"/>
  <c r="C18" i="7"/>
  <c r="O17" i="7"/>
  <c r="J17" i="7"/>
  <c r="H17" i="7"/>
  <c r="I17" i="7" s="1"/>
  <c r="F17" i="7"/>
  <c r="C17" i="7"/>
  <c r="C16" i="7"/>
  <c r="O15" i="7"/>
  <c r="F15" i="7"/>
  <c r="C15" i="7"/>
  <c r="J15" i="7" s="1"/>
  <c r="F14" i="7"/>
  <c r="C14" i="7"/>
  <c r="J14" i="7" s="1"/>
  <c r="H13" i="7"/>
  <c r="C13" i="7"/>
  <c r="F12" i="7"/>
  <c r="C12" i="7"/>
  <c r="H12" i="7" s="1"/>
  <c r="I12" i="7" s="1"/>
  <c r="K12" i="7" s="1"/>
  <c r="L12" i="7" s="1"/>
  <c r="F11" i="7"/>
  <c r="C11" i="7"/>
  <c r="J11" i="7" s="1"/>
  <c r="C10" i="7"/>
  <c r="O9" i="7"/>
  <c r="D31" i="7" s="1"/>
  <c r="C9" i="7"/>
  <c r="O8" i="7"/>
  <c r="H18" i="7" s="1"/>
  <c r="I18" i="7" s="1"/>
  <c r="F8" i="7"/>
  <c r="C8" i="7"/>
  <c r="J8" i="7" s="1"/>
  <c r="H7" i="7"/>
  <c r="F7" i="7"/>
  <c r="C7" i="7"/>
  <c r="J7" i="7" s="1"/>
  <c r="H6" i="7"/>
  <c r="F6" i="7"/>
  <c r="C6" i="7"/>
  <c r="J6" i="7" s="1"/>
  <c r="O5" i="7"/>
  <c r="O6" i="7" s="1"/>
  <c r="C5" i="7"/>
  <c r="H5" i="7" s="1"/>
  <c r="I5" i="7" s="1"/>
  <c r="L4" i="7" s="1"/>
  <c r="C4" i="7"/>
  <c r="H4" i="7" s="1"/>
  <c r="I4" i="7" s="1"/>
  <c r="H3" i="7"/>
  <c r="F3" i="7"/>
  <c r="C3" i="7"/>
  <c r="J3" i="7" s="1"/>
  <c r="C32" i="6"/>
  <c r="C27" i="6"/>
  <c r="D27" i="6" s="1"/>
  <c r="I27" i="6" s="1"/>
  <c r="D26" i="6"/>
  <c r="I26" i="6" s="1"/>
  <c r="C26" i="6"/>
  <c r="C25" i="6"/>
  <c r="D25" i="6" s="1"/>
  <c r="I25" i="6" s="1"/>
  <c r="O24" i="6"/>
  <c r="C24" i="6"/>
  <c r="D24" i="6" s="1"/>
  <c r="I24" i="6" s="1"/>
  <c r="F23" i="6"/>
  <c r="C23" i="6"/>
  <c r="D23" i="6" s="1"/>
  <c r="F19" i="6"/>
  <c r="C19" i="6"/>
  <c r="J19" i="6" s="1"/>
  <c r="C18" i="6"/>
  <c r="O17" i="6"/>
  <c r="J17" i="6"/>
  <c r="H17" i="6"/>
  <c r="F17" i="6"/>
  <c r="C17" i="6"/>
  <c r="C16" i="6"/>
  <c r="O15" i="6"/>
  <c r="F15" i="6"/>
  <c r="C15" i="6"/>
  <c r="J15" i="6" s="1"/>
  <c r="F14" i="6"/>
  <c r="C14" i="6"/>
  <c r="J14" i="6" s="1"/>
  <c r="H13" i="6"/>
  <c r="C13" i="6"/>
  <c r="F12" i="6"/>
  <c r="C12" i="6"/>
  <c r="H12" i="6" s="1"/>
  <c r="F11" i="6"/>
  <c r="C11" i="6"/>
  <c r="J11" i="6" s="1"/>
  <c r="C10" i="6"/>
  <c r="O9" i="6"/>
  <c r="D31" i="6" s="1"/>
  <c r="C9" i="6"/>
  <c r="H9" i="6" s="1"/>
  <c r="I9" i="6" s="1"/>
  <c r="O8" i="6"/>
  <c r="H18" i="6" s="1"/>
  <c r="F8" i="6"/>
  <c r="C8" i="6"/>
  <c r="H8" i="6" s="1"/>
  <c r="F7" i="6"/>
  <c r="C7" i="6"/>
  <c r="J7" i="6" s="1"/>
  <c r="F6" i="6"/>
  <c r="C6" i="6"/>
  <c r="J6" i="6" s="1"/>
  <c r="O5" i="6"/>
  <c r="O6" i="6" s="1"/>
  <c r="C5" i="6"/>
  <c r="H5" i="6" s="1"/>
  <c r="C4" i="6"/>
  <c r="H4" i="6" s="1"/>
  <c r="F3" i="6"/>
  <c r="C3" i="6"/>
  <c r="J3" i="6" s="1"/>
  <c r="C32" i="5"/>
  <c r="C27" i="5"/>
  <c r="D27" i="5" s="1"/>
  <c r="I27" i="5" s="1"/>
  <c r="D26" i="5"/>
  <c r="I26" i="5" s="1"/>
  <c r="C26" i="5"/>
  <c r="C25" i="5"/>
  <c r="D25" i="5" s="1"/>
  <c r="I25" i="5" s="1"/>
  <c r="O24" i="5"/>
  <c r="C24" i="5"/>
  <c r="D24" i="5" s="1"/>
  <c r="I24" i="5" s="1"/>
  <c r="F23" i="5"/>
  <c r="D23" i="5"/>
  <c r="C23" i="5"/>
  <c r="H19" i="5"/>
  <c r="F19" i="5"/>
  <c r="C19" i="5"/>
  <c r="J19" i="5" s="1"/>
  <c r="C18" i="5"/>
  <c r="O17" i="5"/>
  <c r="J17" i="5"/>
  <c r="H17" i="5"/>
  <c r="I17" i="5" s="1"/>
  <c r="F17" i="5"/>
  <c r="C17" i="5"/>
  <c r="C16" i="5"/>
  <c r="O15" i="5"/>
  <c r="H15" i="5"/>
  <c r="F15" i="5"/>
  <c r="C15" i="5"/>
  <c r="J15" i="5" s="1"/>
  <c r="F14" i="5"/>
  <c r="C14" i="5"/>
  <c r="J14" i="5" s="1"/>
  <c r="H13" i="5"/>
  <c r="C13" i="5"/>
  <c r="F12" i="5"/>
  <c r="C12" i="5"/>
  <c r="J12" i="5" s="1"/>
  <c r="H11" i="5"/>
  <c r="F11" i="5"/>
  <c r="C11" i="5"/>
  <c r="J11" i="5" s="1"/>
  <c r="H10" i="5"/>
  <c r="C10" i="5"/>
  <c r="O9" i="5"/>
  <c r="D31" i="5" s="1"/>
  <c r="C9" i="5"/>
  <c r="H9" i="5" s="1"/>
  <c r="O8" i="5"/>
  <c r="H18" i="5" s="1"/>
  <c r="F8" i="5"/>
  <c r="C8" i="5"/>
  <c r="J8" i="5" s="1"/>
  <c r="H7" i="5"/>
  <c r="F7" i="5"/>
  <c r="C7" i="5"/>
  <c r="J7" i="5" s="1"/>
  <c r="H6" i="5"/>
  <c r="F6" i="5"/>
  <c r="C6" i="5"/>
  <c r="J6" i="5" s="1"/>
  <c r="O5" i="5"/>
  <c r="O6" i="5" s="1"/>
  <c r="C5" i="5"/>
  <c r="H5" i="5" s="1"/>
  <c r="I5" i="5" s="1"/>
  <c r="L4" i="5" s="1"/>
  <c r="C4" i="5"/>
  <c r="H4" i="5" s="1"/>
  <c r="I4" i="5" s="1"/>
  <c r="H3" i="5"/>
  <c r="F3" i="5"/>
  <c r="C3" i="5"/>
  <c r="J3" i="5" s="1"/>
  <c r="G20" i="3"/>
  <c r="B20" i="3"/>
  <c r="C20" i="3" s="1"/>
  <c r="E19" i="3"/>
  <c r="G18" i="3"/>
  <c r="C13" i="3"/>
  <c r="D14" i="3" s="1"/>
  <c r="E14" i="3" s="1"/>
  <c r="B19" i="3" s="1"/>
  <c r="C12" i="3"/>
  <c r="D8" i="3"/>
  <c r="J8" i="3" s="1"/>
  <c r="O6" i="3"/>
  <c r="H3" i="3" s="1"/>
  <c r="G5" i="3"/>
  <c r="F5" i="3"/>
  <c r="E5" i="3"/>
  <c r="G4" i="3"/>
  <c r="F4" i="3"/>
  <c r="E4" i="3"/>
  <c r="I3" i="3"/>
  <c r="E3" i="3"/>
  <c r="I11" i="17" l="1"/>
  <c r="I12" i="17"/>
  <c r="K12" i="17" s="1"/>
  <c r="L12" i="17" s="1"/>
  <c r="L16" i="17"/>
  <c r="K17" i="17"/>
  <c r="L17" i="17" s="1"/>
  <c r="I9" i="17"/>
  <c r="I6" i="17"/>
  <c r="I13" i="17"/>
  <c r="F32" i="17"/>
  <c r="G32" i="17" s="1"/>
  <c r="H8" i="17"/>
  <c r="I8" i="17" s="1"/>
  <c r="K8" i="17" s="1"/>
  <c r="L8" i="17" s="1"/>
  <c r="H16" i="17"/>
  <c r="I16" i="17" s="1"/>
  <c r="D32" i="17"/>
  <c r="J12" i="17"/>
  <c r="H15" i="17"/>
  <c r="I15" i="17" s="1"/>
  <c r="K15" i="17" s="1"/>
  <c r="L15" i="17" s="1"/>
  <c r="H19" i="17"/>
  <c r="I19" i="17" s="1"/>
  <c r="E32" i="17"/>
  <c r="H14" i="17"/>
  <c r="I14" i="17" s="1"/>
  <c r="H10" i="17"/>
  <c r="I10" i="17" s="1"/>
  <c r="L9" i="17" s="1"/>
  <c r="L16" i="16"/>
  <c r="K17" i="16"/>
  <c r="L17" i="16" s="1"/>
  <c r="I7" i="16"/>
  <c r="K7" i="16" s="1"/>
  <c r="L7" i="16" s="1"/>
  <c r="I6" i="16"/>
  <c r="F32" i="16"/>
  <c r="G32" i="16" s="1"/>
  <c r="H9" i="16"/>
  <c r="I9" i="16" s="1"/>
  <c r="H12" i="16"/>
  <c r="I12" i="16" s="1"/>
  <c r="K12" i="16" s="1"/>
  <c r="L12" i="16" s="1"/>
  <c r="H11" i="16"/>
  <c r="I11" i="16" s="1"/>
  <c r="H16" i="16"/>
  <c r="I16" i="16" s="1"/>
  <c r="D32" i="16"/>
  <c r="E32" i="16" s="1"/>
  <c r="J8" i="16"/>
  <c r="H15" i="16"/>
  <c r="I15" i="16" s="1"/>
  <c r="K15" i="16" s="1"/>
  <c r="L15" i="16" s="1"/>
  <c r="H19" i="16"/>
  <c r="I19" i="16" s="1"/>
  <c r="H14" i="16"/>
  <c r="I14" i="16" s="1"/>
  <c r="H10" i="16"/>
  <c r="I10" i="16" s="1"/>
  <c r="L9" i="16" s="1"/>
  <c r="L5" i="15"/>
  <c r="K6" i="15"/>
  <c r="L6" i="15" s="1"/>
  <c r="L16" i="15"/>
  <c r="K17" i="15"/>
  <c r="L17" i="15" s="1"/>
  <c r="F32" i="15"/>
  <c r="G32" i="15" s="1"/>
  <c r="H9" i="15"/>
  <c r="I9" i="15" s="1"/>
  <c r="H11" i="15"/>
  <c r="I11" i="15" s="1"/>
  <c r="H16" i="15"/>
  <c r="I16" i="15" s="1"/>
  <c r="D32" i="15"/>
  <c r="H8" i="15"/>
  <c r="I8" i="15" s="1"/>
  <c r="K8" i="15" s="1"/>
  <c r="L8" i="15" s="1"/>
  <c r="J12" i="15"/>
  <c r="H15" i="15"/>
  <c r="I15" i="15" s="1"/>
  <c r="K15" i="15" s="1"/>
  <c r="L15" i="15" s="1"/>
  <c r="H19" i="15"/>
  <c r="I19" i="15" s="1"/>
  <c r="E32" i="15"/>
  <c r="H14" i="15"/>
  <c r="I14" i="15" s="1"/>
  <c r="H10" i="15"/>
  <c r="I10" i="15" s="1"/>
  <c r="L9" i="15" s="1"/>
  <c r="L16" i="14"/>
  <c r="K17" i="14"/>
  <c r="L17" i="14" s="1"/>
  <c r="I8" i="14"/>
  <c r="K8" i="14" s="1"/>
  <c r="L8" i="14" s="1"/>
  <c r="I12" i="14"/>
  <c r="K12" i="14" s="1"/>
  <c r="L12" i="14" s="1"/>
  <c r="L5" i="14"/>
  <c r="K6" i="14"/>
  <c r="L6" i="14" s="1"/>
  <c r="F32" i="14"/>
  <c r="G32" i="14" s="1"/>
  <c r="O15" i="14"/>
  <c r="H11" i="14"/>
  <c r="I11" i="14" s="1"/>
  <c r="H16" i="14"/>
  <c r="I16" i="14" s="1"/>
  <c r="D32" i="14"/>
  <c r="E32" i="14" s="1"/>
  <c r="H3" i="14"/>
  <c r="I3" i="14" s="1"/>
  <c r="K3" i="14" s="1"/>
  <c r="L3" i="14" s="1"/>
  <c r="H7" i="14"/>
  <c r="I7" i="14" s="1"/>
  <c r="K7" i="14" s="1"/>
  <c r="L7" i="14" s="1"/>
  <c r="J6" i="14"/>
  <c r="H14" i="14"/>
  <c r="I14" i="14" s="1"/>
  <c r="H15" i="14"/>
  <c r="I15" i="14" s="1"/>
  <c r="K15" i="14" s="1"/>
  <c r="L15" i="14" s="1"/>
  <c r="H19" i="14"/>
  <c r="I19" i="14" s="1"/>
  <c r="H10" i="14"/>
  <c r="I10" i="14" s="1"/>
  <c r="L9" i="14" s="1"/>
  <c r="H13" i="14"/>
  <c r="I13" i="14" s="1"/>
  <c r="E3" i="13"/>
  <c r="I3" i="13" s="1"/>
  <c r="J3" i="13" s="1"/>
  <c r="D5" i="13"/>
  <c r="D4" i="13"/>
  <c r="E8" i="13"/>
  <c r="F8" i="13"/>
  <c r="H3" i="13"/>
  <c r="F19" i="13"/>
  <c r="C19" i="13"/>
  <c r="F3" i="13"/>
  <c r="G4" i="13"/>
  <c r="J8" i="13" s="1"/>
  <c r="L16" i="12"/>
  <c r="K17" i="12"/>
  <c r="L17" i="12" s="1"/>
  <c r="I5" i="12"/>
  <c r="L4" i="12" s="1"/>
  <c r="F32" i="12"/>
  <c r="G32" i="12" s="1"/>
  <c r="I18" i="12"/>
  <c r="I16" i="12"/>
  <c r="L5" i="12"/>
  <c r="K6" i="12"/>
  <c r="L6" i="12" s="1"/>
  <c r="H12" i="12"/>
  <c r="I12" i="12" s="1"/>
  <c r="K12" i="12" s="1"/>
  <c r="L12" i="12" s="1"/>
  <c r="H3" i="12"/>
  <c r="I3" i="12" s="1"/>
  <c r="K3" i="12" s="1"/>
  <c r="L3" i="12" s="1"/>
  <c r="D32" i="12"/>
  <c r="H11" i="12"/>
  <c r="I11" i="12" s="1"/>
  <c r="J6" i="12"/>
  <c r="J7" i="12"/>
  <c r="H14" i="12"/>
  <c r="I14" i="12" s="1"/>
  <c r="H15" i="12"/>
  <c r="I15" i="12" s="1"/>
  <c r="K15" i="12" s="1"/>
  <c r="L15" i="12" s="1"/>
  <c r="H19" i="12"/>
  <c r="I19" i="12" s="1"/>
  <c r="E32" i="12"/>
  <c r="H10" i="12"/>
  <c r="I10" i="12" s="1"/>
  <c r="L9" i="12" s="1"/>
  <c r="H13" i="12"/>
  <c r="I13" i="12" s="1"/>
  <c r="F19" i="11"/>
  <c r="C19" i="11"/>
  <c r="H3" i="11"/>
  <c r="F8" i="11"/>
  <c r="I8" i="11" s="1"/>
  <c r="D18" i="11" s="1"/>
  <c r="G8" i="11"/>
  <c r="H8" i="11" s="1"/>
  <c r="D4" i="11"/>
  <c r="D5" i="11"/>
  <c r="K14" i="10"/>
  <c r="L14" i="10" s="1"/>
  <c r="L13" i="10"/>
  <c r="I17" i="10"/>
  <c r="I15" i="10"/>
  <c r="K15" i="10" s="1"/>
  <c r="L15" i="10" s="1"/>
  <c r="I18" i="10"/>
  <c r="I19" i="10"/>
  <c r="H12" i="10"/>
  <c r="I12" i="10" s="1"/>
  <c r="K12" i="10" s="1"/>
  <c r="L12" i="10" s="1"/>
  <c r="O15" i="10"/>
  <c r="H3" i="10"/>
  <c r="I3" i="10" s="1"/>
  <c r="K3" i="10" s="1"/>
  <c r="L3" i="10" s="1"/>
  <c r="H6" i="10"/>
  <c r="I6" i="10" s="1"/>
  <c r="H7" i="10"/>
  <c r="I7" i="10" s="1"/>
  <c r="K7" i="10" s="1"/>
  <c r="L7" i="10" s="1"/>
  <c r="H11" i="10"/>
  <c r="I11" i="10" s="1"/>
  <c r="O9" i="10"/>
  <c r="H16" i="10"/>
  <c r="I16" i="10" s="1"/>
  <c r="H10" i="10"/>
  <c r="I10" i="10" s="1"/>
  <c r="L9" i="10" s="1"/>
  <c r="H13" i="10"/>
  <c r="I13" i="10" s="1"/>
  <c r="F19" i="9"/>
  <c r="C19" i="9"/>
  <c r="E5" i="9"/>
  <c r="H5" i="9"/>
  <c r="H3" i="9"/>
  <c r="F8" i="9"/>
  <c r="D4" i="9"/>
  <c r="H4" i="8"/>
  <c r="I4" i="8" s="1"/>
  <c r="H9" i="8"/>
  <c r="I9" i="8" s="1"/>
  <c r="H18" i="8"/>
  <c r="I18" i="8" s="1"/>
  <c r="H8" i="8"/>
  <c r="I8" i="8" s="1"/>
  <c r="K8" i="8" s="1"/>
  <c r="L8" i="8" s="1"/>
  <c r="H12" i="8"/>
  <c r="I12" i="8" s="1"/>
  <c r="K12" i="8" s="1"/>
  <c r="L12" i="8" s="1"/>
  <c r="H13" i="8"/>
  <c r="I13" i="8" s="1"/>
  <c r="H3" i="8"/>
  <c r="I3" i="8" s="1"/>
  <c r="K3" i="8" s="1"/>
  <c r="L3" i="8" s="1"/>
  <c r="H6" i="8"/>
  <c r="I6" i="8" s="1"/>
  <c r="H7" i="8"/>
  <c r="I7" i="8" s="1"/>
  <c r="K7" i="8" s="1"/>
  <c r="L7" i="8" s="1"/>
  <c r="H11" i="8"/>
  <c r="I11" i="8" s="1"/>
  <c r="H16" i="8"/>
  <c r="I16" i="8" s="1"/>
  <c r="O9" i="8"/>
  <c r="H15" i="8"/>
  <c r="I15" i="8" s="1"/>
  <c r="K15" i="8" s="1"/>
  <c r="L15" i="8" s="1"/>
  <c r="H19" i="8"/>
  <c r="I19" i="8" s="1"/>
  <c r="H5" i="8"/>
  <c r="I5" i="8" s="1"/>
  <c r="L4" i="8" s="1"/>
  <c r="H14" i="8"/>
  <c r="I14" i="8" s="1"/>
  <c r="H17" i="8"/>
  <c r="I17" i="8" s="1"/>
  <c r="L16" i="7"/>
  <c r="K17" i="7"/>
  <c r="L17" i="7" s="1"/>
  <c r="I7" i="7"/>
  <c r="K7" i="7" s="1"/>
  <c r="L7" i="7" s="1"/>
  <c r="I6" i="7"/>
  <c r="I3" i="7"/>
  <c r="K3" i="7" s="1"/>
  <c r="L3" i="7" s="1"/>
  <c r="I13" i="7"/>
  <c r="F32" i="7"/>
  <c r="G32" i="7" s="1"/>
  <c r="H9" i="7"/>
  <c r="I9" i="7" s="1"/>
  <c r="H11" i="7"/>
  <c r="I11" i="7" s="1"/>
  <c r="H16" i="7"/>
  <c r="I16" i="7" s="1"/>
  <c r="D32" i="7"/>
  <c r="H8" i="7"/>
  <c r="I8" i="7" s="1"/>
  <c r="K8" i="7" s="1"/>
  <c r="L8" i="7" s="1"/>
  <c r="J12" i="7"/>
  <c r="H15" i="7"/>
  <c r="I15" i="7" s="1"/>
  <c r="K15" i="7" s="1"/>
  <c r="L15" i="7" s="1"/>
  <c r="H19" i="7"/>
  <c r="I19" i="7" s="1"/>
  <c r="E32" i="7"/>
  <c r="H14" i="7"/>
  <c r="I14" i="7" s="1"/>
  <c r="H10" i="7"/>
  <c r="I10" i="7" s="1"/>
  <c r="L9" i="7" s="1"/>
  <c r="I13" i="6"/>
  <c r="I17" i="6"/>
  <c r="I8" i="6"/>
  <c r="K8" i="6" s="1"/>
  <c r="L8" i="6" s="1"/>
  <c r="I12" i="6"/>
  <c r="K12" i="6" s="1"/>
  <c r="L12" i="6" s="1"/>
  <c r="I4" i="6"/>
  <c r="I5" i="6"/>
  <c r="L4" i="6" s="1"/>
  <c r="I18" i="6"/>
  <c r="F32" i="6"/>
  <c r="G32" i="6" s="1"/>
  <c r="H3" i="6"/>
  <c r="I3" i="6" s="1"/>
  <c r="K3" i="6" s="1"/>
  <c r="L3" i="6" s="1"/>
  <c r="H6" i="6"/>
  <c r="I6" i="6" s="1"/>
  <c r="H7" i="6"/>
  <c r="I7" i="6" s="1"/>
  <c r="K7" i="6" s="1"/>
  <c r="L7" i="6" s="1"/>
  <c r="H11" i="6"/>
  <c r="I11" i="6" s="1"/>
  <c r="H16" i="6"/>
  <c r="I16" i="6" s="1"/>
  <c r="D32" i="6"/>
  <c r="E32" i="6" s="1"/>
  <c r="J8" i="6"/>
  <c r="J12" i="6"/>
  <c r="H15" i="6"/>
  <c r="I15" i="6" s="1"/>
  <c r="K15" i="6" s="1"/>
  <c r="L15" i="6" s="1"/>
  <c r="H19" i="6"/>
  <c r="I19" i="6" s="1"/>
  <c r="H14" i="6"/>
  <c r="I14" i="6" s="1"/>
  <c r="H10" i="6"/>
  <c r="I10" i="6" s="1"/>
  <c r="L9" i="6" s="1"/>
  <c r="I18" i="5"/>
  <c r="I15" i="5"/>
  <c r="K15" i="5" s="1"/>
  <c r="L15" i="5" s="1"/>
  <c r="L16" i="5"/>
  <c r="K17" i="5"/>
  <c r="L17" i="5" s="1"/>
  <c r="I11" i="5"/>
  <c r="I7" i="5"/>
  <c r="K7" i="5" s="1"/>
  <c r="L7" i="5" s="1"/>
  <c r="I6" i="5"/>
  <c r="I9" i="5"/>
  <c r="I13" i="5"/>
  <c r="I19" i="5"/>
  <c r="I3" i="5"/>
  <c r="K3" i="5" s="1"/>
  <c r="L3" i="5" s="1"/>
  <c r="I10" i="5"/>
  <c r="L9" i="5" s="1"/>
  <c r="F32" i="5"/>
  <c r="G32" i="5" s="1"/>
  <c r="H8" i="5"/>
  <c r="I8" i="5" s="1"/>
  <c r="K8" i="5" s="1"/>
  <c r="L8" i="5" s="1"/>
  <c r="H12" i="5"/>
  <c r="I12" i="5" s="1"/>
  <c r="K12" i="5" s="1"/>
  <c r="L12" i="5" s="1"/>
  <c r="H16" i="5"/>
  <c r="I16" i="5" s="1"/>
  <c r="D32" i="5"/>
  <c r="E32" i="5"/>
  <c r="H14" i="5"/>
  <c r="I14" i="5" s="1"/>
  <c r="F19" i="3"/>
  <c r="C19" i="3"/>
  <c r="F8" i="3"/>
  <c r="I8" i="3" s="1"/>
  <c r="D18" i="3" s="1"/>
  <c r="E8" i="3"/>
  <c r="I4" i="3" s="1"/>
  <c r="H4" i="3"/>
  <c r="G3" i="3"/>
  <c r="F3" i="3"/>
  <c r="J3" i="3" s="1"/>
  <c r="H5" i="3"/>
  <c r="K19" i="17" l="1"/>
  <c r="L19" i="17" s="1"/>
  <c r="L18" i="17"/>
  <c r="L5" i="17"/>
  <c r="K6" i="17"/>
  <c r="L6" i="17" s="1"/>
  <c r="K11" i="17"/>
  <c r="L11" i="17" s="1"/>
  <c r="L10" i="17"/>
  <c r="L13" i="17"/>
  <c r="K14" i="17"/>
  <c r="L14" i="17" s="1"/>
  <c r="L13" i="16"/>
  <c r="K14" i="16"/>
  <c r="L14" i="16" s="1"/>
  <c r="L5" i="16"/>
  <c r="K6" i="16"/>
  <c r="L6" i="16" s="1"/>
  <c r="K19" i="16"/>
  <c r="L19" i="16" s="1"/>
  <c r="L18" i="16"/>
  <c r="K11" i="16"/>
  <c r="L11" i="16" s="1"/>
  <c r="L10" i="16"/>
  <c r="L13" i="15"/>
  <c r="K14" i="15"/>
  <c r="L14" i="15" s="1"/>
  <c r="K11" i="15"/>
  <c r="L11" i="15" s="1"/>
  <c r="L10" i="15"/>
  <c r="G23" i="15" s="1" a="1"/>
  <c r="G23" i="15" s="1"/>
  <c r="H23" i="15" s="1"/>
  <c r="I23" i="15" s="1"/>
  <c r="C31" i="15" s="1"/>
  <c r="K19" i="15"/>
  <c r="L19" i="15" s="1"/>
  <c r="L18" i="15"/>
  <c r="K14" i="14"/>
  <c r="L14" i="14" s="1"/>
  <c r="L13" i="14"/>
  <c r="K19" i="14"/>
  <c r="L19" i="14" s="1"/>
  <c r="L18" i="14"/>
  <c r="L10" i="14"/>
  <c r="K11" i="14"/>
  <c r="L11" i="14" s="1"/>
  <c r="I23" i="14" s="1"/>
  <c r="C31" i="14" s="1"/>
  <c r="F21" i="13"/>
  <c r="G19" i="13"/>
  <c r="G21" i="13" s="1"/>
  <c r="G8" i="13"/>
  <c r="H8" i="13" s="1"/>
  <c r="I8" i="13"/>
  <c r="D18" i="13" s="1"/>
  <c r="H4" i="13"/>
  <c r="E4" i="13"/>
  <c r="I4" i="13"/>
  <c r="J4" i="13" s="1"/>
  <c r="J5" i="13" s="1"/>
  <c r="I5" i="13" s="1"/>
  <c r="E5" i="13"/>
  <c r="H5" i="13"/>
  <c r="K14" i="12"/>
  <c r="L14" i="12" s="1"/>
  <c r="L13" i="12"/>
  <c r="G23" i="12" s="1" a="1"/>
  <c r="G23" i="12" s="1"/>
  <c r="H23" i="12" s="1"/>
  <c r="I23" i="12" s="1"/>
  <c r="C31" i="12" s="1"/>
  <c r="L10" i="12"/>
  <c r="K11" i="12"/>
  <c r="L11" i="12" s="1"/>
  <c r="K19" i="12"/>
  <c r="L19" i="12" s="1"/>
  <c r="L18" i="12"/>
  <c r="E18" i="11"/>
  <c r="E5" i="11"/>
  <c r="K5" i="11" s="1"/>
  <c r="L5" i="11" s="1"/>
  <c r="H5" i="11"/>
  <c r="F21" i="11"/>
  <c r="G19" i="11"/>
  <c r="G21" i="11" s="1"/>
  <c r="H4" i="11"/>
  <c r="E4" i="11"/>
  <c r="K4" i="11" s="1"/>
  <c r="L4" i="11" s="1"/>
  <c r="I4" i="11"/>
  <c r="J4" i="11" s="1"/>
  <c r="J5" i="11" s="1"/>
  <c r="I5" i="11" s="1"/>
  <c r="D31" i="10"/>
  <c r="D32" i="10"/>
  <c r="K19" i="10"/>
  <c r="L19" i="10" s="1"/>
  <c r="L18" i="10"/>
  <c r="L10" i="10"/>
  <c r="K11" i="10"/>
  <c r="L11" i="10" s="1"/>
  <c r="L5" i="10"/>
  <c r="G23" i="10" s="1" a="1"/>
  <c r="G23" i="10" s="1"/>
  <c r="H23" i="10" s="1"/>
  <c r="I23" i="10" s="1"/>
  <c r="C31" i="10" s="1"/>
  <c r="K6" i="10"/>
  <c r="L6" i="10" s="1"/>
  <c r="L16" i="10"/>
  <c r="K17" i="10"/>
  <c r="L17" i="10" s="1"/>
  <c r="K5" i="9"/>
  <c r="L5" i="9" s="1"/>
  <c r="E4" i="9"/>
  <c r="I4" i="9"/>
  <c r="J4" i="9" s="1"/>
  <c r="J5" i="9" s="1"/>
  <c r="I5" i="9" s="1"/>
  <c r="H4" i="9"/>
  <c r="I8" i="9"/>
  <c r="D18" i="9" s="1"/>
  <c r="G8" i="9"/>
  <c r="H8" i="9" s="1"/>
  <c r="F21" i="9"/>
  <c r="G19" i="9"/>
  <c r="G21" i="9" s="1"/>
  <c r="D31" i="8"/>
  <c r="D32" i="8"/>
  <c r="L16" i="8"/>
  <c r="K17" i="8"/>
  <c r="L17" i="8" s="1"/>
  <c r="K11" i="8"/>
  <c r="L11" i="8" s="1"/>
  <c r="L10" i="8"/>
  <c r="K14" i="8"/>
  <c r="L14" i="8" s="1"/>
  <c r="L13" i="8"/>
  <c r="K19" i="8"/>
  <c r="L19" i="8" s="1"/>
  <c r="L18" i="8"/>
  <c r="K6" i="8"/>
  <c r="L6" i="8" s="1"/>
  <c r="L5" i="8"/>
  <c r="G23" i="8" s="1" a="1"/>
  <c r="G23" i="8" s="1"/>
  <c r="H23" i="8" s="1"/>
  <c r="I23" i="8" s="1"/>
  <c r="C31" i="8" s="1"/>
  <c r="L5" i="7"/>
  <c r="G23" i="7" s="1" a="1"/>
  <c r="G23" i="7" s="1"/>
  <c r="H23" i="7" s="1"/>
  <c r="I23" i="7" s="1"/>
  <c r="C31" i="7" s="1"/>
  <c r="K6" i="7"/>
  <c r="L6" i="7" s="1"/>
  <c r="K19" i="7"/>
  <c r="L19" i="7" s="1"/>
  <c r="L18" i="7"/>
  <c r="L13" i="7"/>
  <c r="K14" i="7"/>
  <c r="L14" i="7" s="1"/>
  <c r="K11" i="7"/>
  <c r="L11" i="7" s="1"/>
  <c r="L10" i="7"/>
  <c r="L13" i="6"/>
  <c r="K14" i="6"/>
  <c r="L14" i="6" s="1"/>
  <c r="K11" i="6"/>
  <c r="L11" i="6" s="1"/>
  <c r="L10" i="6"/>
  <c r="K19" i="6"/>
  <c r="L19" i="6" s="1"/>
  <c r="L18" i="6"/>
  <c r="L5" i="6"/>
  <c r="G23" i="6" s="1" a="1"/>
  <c r="G23" i="6" s="1"/>
  <c r="H23" i="6" s="1"/>
  <c r="I23" i="6" s="1"/>
  <c r="C31" i="6" s="1"/>
  <c r="K6" i="6"/>
  <c r="L6" i="6" s="1"/>
  <c r="L16" i="6"/>
  <c r="K17" i="6"/>
  <c r="L17" i="6" s="1"/>
  <c r="L5" i="5"/>
  <c r="K6" i="5"/>
  <c r="L6" i="5" s="1"/>
  <c r="L10" i="5"/>
  <c r="K11" i="5"/>
  <c r="L11" i="5" s="1"/>
  <c r="L13" i="5"/>
  <c r="K14" i="5"/>
  <c r="L14" i="5" s="1"/>
  <c r="G23" i="5" s="1" a="1"/>
  <c r="G23" i="5" s="1"/>
  <c r="H23" i="5" s="1"/>
  <c r="I23" i="5" s="1"/>
  <c r="C31" i="5" s="1"/>
  <c r="K19" i="5"/>
  <c r="L19" i="5" s="1"/>
  <c r="L18" i="5"/>
  <c r="K4" i="3"/>
  <c r="L4" i="3" s="1"/>
  <c r="J4" i="3"/>
  <c r="J5" i="3" s="1"/>
  <c r="I5" i="3" s="1"/>
  <c r="K5" i="3" s="1"/>
  <c r="L5" i="3" s="1"/>
  <c r="E18" i="3"/>
  <c r="G8" i="3"/>
  <c r="H8" i="3" s="1"/>
  <c r="F21" i="3"/>
  <c r="G19" i="3"/>
  <c r="G21" i="3" s="1"/>
  <c r="G23" i="17" l="1" a="1"/>
  <c r="G23" i="17" s="1"/>
  <c r="H23" i="17" s="1"/>
  <c r="I23" i="17" s="1"/>
  <c r="C31" i="17" s="1"/>
  <c r="G23" i="16" a="1"/>
  <c r="G23" i="16" s="1"/>
  <c r="H23" i="16" s="1"/>
  <c r="I23" i="16" s="1"/>
  <c r="C31" i="16" s="1"/>
  <c r="E31" i="15"/>
  <c r="F31" i="15"/>
  <c r="G31" i="15" s="1"/>
  <c r="E31" i="14"/>
  <c r="F31" i="14"/>
  <c r="G31" i="14" s="1"/>
  <c r="E18" i="13"/>
  <c r="K4" i="13"/>
  <c r="L4" i="13" s="1"/>
  <c r="K5" i="13"/>
  <c r="L5" i="13" s="1"/>
  <c r="E31" i="12"/>
  <c r="F31" i="12"/>
  <c r="G31" i="12" s="1"/>
  <c r="D20" i="11"/>
  <c r="B18" i="11"/>
  <c r="E31" i="10"/>
  <c r="F31" i="10"/>
  <c r="G31" i="10" s="1"/>
  <c r="E32" i="10"/>
  <c r="F32" i="10"/>
  <c r="G32" i="10" s="1"/>
  <c r="E18" i="9"/>
  <c r="D20" i="9"/>
  <c r="E20" i="9" s="1"/>
  <c r="K4" i="9"/>
  <c r="L4" i="9" s="1"/>
  <c r="B18" i="9" s="1"/>
  <c r="E31" i="8"/>
  <c r="F31" i="8"/>
  <c r="G31" i="8" s="1"/>
  <c r="F32" i="8"/>
  <c r="G32" i="8" s="1"/>
  <c r="E32" i="8"/>
  <c r="E31" i="7"/>
  <c r="F31" i="7"/>
  <c r="G31" i="7" s="1"/>
  <c r="E31" i="6"/>
  <c r="F31" i="6"/>
  <c r="G31" i="6" s="1"/>
  <c r="E31" i="5"/>
  <c r="F31" i="5"/>
  <c r="G31" i="5" s="1"/>
  <c r="D20" i="3"/>
  <c r="B18" i="3"/>
  <c r="E31" i="17" l="1"/>
  <c r="F31" i="17"/>
  <c r="G31" i="17" s="1"/>
  <c r="E31" i="16"/>
  <c r="F31" i="16"/>
  <c r="G31" i="16" s="1"/>
  <c r="D20" i="13"/>
  <c r="B18" i="13"/>
  <c r="C18" i="11"/>
  <c r="B21" i="11"/>
  <c r="C21" i="11" s="1"/>
  <c r="E20" i="11"/>
  <c r="D21" i="11"/>
  <c r="E21" i="11" s="1"/>
  <c r="C18" i="9"/>
  <c r="B21" i="9"/>
  <c r="C21" i="9" s="1"/>
  <c r="D21" i="9"/>
  <c r="E21" i="9" s="1"/>
  <c r="C18" i="3"/>
  <c r="B21" i="3"/>
  <c r="C21" i="3" s="1"/>
  <c r="E20" i="3"/>
  <c r="D21" i="3"/>
  <c r="E21" i="3" s="1"/>
  <c r="C18" i="13" l="1"/>
  <c r="B21" i="13"/>
  <c r="C21" i="13" s="1"/>
  <c r="E20" i="13"/>
  <c r="D21" i="13"/>
  <c r="E21" i="1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<sst xmlns="http://schemas.openxmlformats.org/spreadsheetml/2006/main" count="1563" uniqueCount="159">
  <si>
    <t>RCB Step 1 - Purge with CO2</t>
  </si>
  <si>
    <t>Step</t>
  </si>
  <si>
    <t>Pressure (psia)</t>
  </si>
  <si>
    <t>Temperature (K)</t>
  </si>
  <si>
    <t>Volume (gal)</t>
  </si>
  <si>
    <t>Volume (m3)</t>
  </si>
  <si>
    <t>air density g/m3</t>
  </si>
  <si>
    <t>CO2 density (g/m3)</t>
  </si>
  <si>
    <t xml:space="preserve">total mol gas </t>
  </si>
  <si>
    <t>m3 air</t>
  </si>
  <si>
    <t>g air</t>
  </si>
  <si>
    <t>m3 CO2</t>
  </si>
  <si>
    <t>g co2</t>
  </si>
  <si>
    <t>Constants and Conversions</t>
  </si>
  <si>
    <t>Start Conditions</t>
  </si>
  <si>
    <t>R (bar-L/mol-K)</t>
  </si>
  <si>
    <t>Close Conditions</t>
  </si>
  <si>
    <t>bar to psi</t>
  </si>
  <si>
    <t>Final Pressuiziation</t>
  </si>
  <si>
    <t>L to gal</t>
  </si>
  <si>
    <t>PUMPING</t>
  </si>
  <si>
    <t>R (psi-gal/mol-K)</t>
  </si>
  <si>
    <t>Gas Flowrate (GPM)</t>
  </si>
  <si>
    <t>Total Time (min)</t>
  </si>
  <si>
    <t>Total Volume CO2 (gal)</t>
  </si>
  <si>
    <t>Volume air displaced (gal)</t>
  </si>
  <si>
    <t>Excess Volume CO2 (gal)</t>
  </si>
  <si>
    <t>Final Volume CO2 (gal)</t>
  </si>
  <si>
    <t>Final mass CO2 (g)</t>
  </si>
  <si>
    <t>CO2 Released (g)</t>
  </si>
  <si>
    <t>CO2 added (g)</t>
  </si>
  <si>
    <t>vol to g/L</t>
  </si>
  <si>
    <t>Pumping</t>
  </si>
  <si>
    <t>kg to g</t>
  </si>
  <si>
    <t>Beer density (kg/L)</t>
  </si>
  <si>
    <t xml:space="preserve">RCB Step 2 - Carbonate </t>
  </si>
  <si>
    <t>Total volume beer (gal)</t>
  </si>
  <si>
    <t>Concentration CO2 (vol)</t>
  </si>
  <si>
    <t>Concentration CO2 (g/L)</t>
  </si>
  <si>
    <t>g/L Addition</t>
  </si>
  <si>
    <t>Total Addition CO2 (g)</t>
  </si>
  <si>
    <t>molar mass air</t>
  </si>
  <si>
    <t xml:space="preserve">Starting Beer </t>
  </si>
  <si>
    <t>molar mass CO2</t>
  </si>
  <si>
    <t>Final Beer</t>
  </si>
  <si>
    <t>Required Addition</t>
  </si>
  <si>
    <t>Legend</t>
  </si>
  <si>
    <t>Input</t>
  </si>
  <si>
    <t xml:space="preserve">CO2 Inventory Assessment </t>
  </si>
  <si>
    <t xml:space="preserve">Intermediate Calculations </t>
  </si>
  <si>
    <t>Process</t>
  </si>
  <si>
    <t>Input per Batch (g)</t>
  </si>
  <si>
    <t>Input Per Batch (kg)</t>
  </si>
  <si>
    <t>Loss per batch (g)</t>
  </si>
  <si>
    <t>Loss Per Batch (kg)</t>
  </si>
  <si>
    <t>Absorbed to Beer (g)</t>
  </si>
  <si>
    <t>Absorbed to Beer (kg)</t>
  </si>
  <si>
    <t xml:space="preserve">Results </t>
  </si>
  <si>
    <t>Step 1 - Purge</t>
  </si>
  <si>
    <t>Step 4 - Carbonate</t>
  </si>
  <si>
    <t>Final Depressurization</t>
  </si>
  <si>
    <t xml:space="preserve">Totals </t>
  </si>
  <si>
    <t xml:space="preserve">Friction Losses </t>
  </si>
  <si>
    <t>Part</t>
  </si>
  <si>
    <t>Inner Diameter (in)</t>
  </si>
  <si>
    <t>Inner Diameter (m)</t>
  </si>
  <si>
    <t>Outer Diameter (in)</t>
  </si>
  <si>
    <t>Length (ft)</t>
  </si>
  <si>
    <t>Length (m)</t>
  </si>
  <si>
    <t>material</t>
  </si>
  <si>
    <t>Cross Sectional Velocity (m/s)</t>
  </si>
  <si>
    <t xml:space="preserve">Reynold's Number </t>
  </si>
  <si>
    <r>
      <t>Relative Roughtness (</t>
    </r>
    <r>
      <rPr>
        <sz val="11"/>
        <color theme="1"/>
        <rFont val="Aptos Narrow"/>
        <family val="2"/>
      </rPr>
      <t>ε/D)</t>
    </r>
  </si>
  <si>
    <t xml:space="preserve">Friction Factor </t>
  </si>
  <si>
    <t xml:space="preserve">Loss Coefficient </t>
  </si>
  <si>
    <t xml:space="preserve">Flow Characteristics </t>
  </si>
  <si>
    <t>Tubing from pump to 3-way valve</t>
  </si>
  <si>
    <t>SS</t>
  </si>
  <si>
    <t>3-Way Valve</t>
  </si>
  <si>
    <t>-</t>
  </si>
  <si>
    <t>Density (kg/m3)</t>
  </si>
  <si>
    <t>elbow</t>
  </si>
  <si>
    <t>dynamic Viscocity (Pa-s)</t>
  </si>
  <si>
    <t xml:space="preserve">tubing to first filter </t>
  </si>
  <si>
    <t>kinematic viscocity (m2/s)</t>
  </si>
  <si>
    <t>tubing to second filter</t>
  </si>
  <si>
    <t>florate (gpm)</t>
  </si>
  <si>
    <t>tubing to elbow</t>
  </si>
  <si>
    <t>flowrate (m3/s)</t>
  </si>
  <si>
    <t>mass flowrate (kg/s)</t>
  </si>
  <si>
    <t>3-way valve</t>
  </si>
  <si>
    <t xml:space="preserve">tubing to heat exchanger </t>
  </si>
  <si>
    <t xml:space="preserve">Constants </t>
  </si>
  <si>
    <t>tubing to flowmeter</t>
  </si>
  <si>
    <t>Total volume beer (m3)</t>
  </si>
  <si>
    <t>L to m3</t>
  </si>
  <si>
    <t xml:space="preserve">tubing to nozzle </t>
  </si>
  <si>
    <t>min to s</t>
  </si>
  <si>
    <t>Pumping Head Pressure Requirements</t>
  </si>
  <si>
    <t>g (m/s2)</t>
  </si>
  <si>
    <t>Change in Pressure (psi)</t>
  </si>
  <si>
    <t>Change in pressure (Pa)</t>
  </si>
  <si>
    <t>Pressure Losses (m)</t>
  </si>
  <si>
    <t>change in height (ft)</t>
  </si>
  <si>
    <t>change in height (m)</t>
  </si>
  <si>
    <t>fraction factors (1/m4)</t>
  </si>
  <si>
    <t>friction losses (m)</t>
  </si>
  <si>
    <t>Head Pressure (m)</t>
  </si>
  <si>
    <t>in to m</t>
  </si>
  <si>
    <t>Tubing and Fittings</t>
  </si>
  <si>
    <t xml:space="preserve">ft to m </t>
  </si>
  <si>
    <t>Filter 1 - 5 micron</t>
  </si>
  <si>
    <t>mass of beer (kg)</t>
  </si>
  <si>
    <t>Filter 2 - 1 micron</t>
  </si>
  <si>
    <t>Psi to Pa</t>
  </si>
  <si>
    <t xml:space="preserve">nozzle </t>
  </si>
  <si>
    <t xml:space="preserve">heat exchanger </t>
  </si>
  <si>
    <t xml:space="preserve">HP Requirements </t>
  </si>
  <si>
    <t>Operation</t>
  </si>
  <si>
    <t>Efficiency</t>
  </si>
  <si>
    <t>HP (W)</t>
  </si>
  <si>
    <t>Operational Rate (kg beer/s)</t>
  </si>
  <si>
    <t>Energy requriements (J/kg beer)</t>
  </si>
  <si>
    <t>Energy Intensity (kWh/kg)</t>
  </si>
  <si>
    <t>Energy Requirements (kWh/batch)</t>
  </si>
  <si>
    <t xml:space="preserve">Chiller </t>
  </si>
  <si>
    <t xml:space="preserve">This file contains the inventory assessments for the work contained in "Techno-economic analysis and life cycle assessment for the rapid carbonation of beer" </t>
  </si>
  <si>
    <t xml:space="preserve">Each tab contains the relavelnt calculations and results for the system of interest. The results were used to build the projects in OpenLCA 2.4.0 and conduct the techno-economic assessment </t>
  </si>
  <si>
    <t xml:space="preserve">Cells in the tabs are color coded acoording to: </t>
  </si>
  <si>
    <t>Tab Name</t>
  </si>
  <si>
    <t>Description</t>
  </si>
  <si>
    <t>Baseline_CO2</t>
  </si>
  <si>
    <t>Baseline_Energy</t>
  </si>
  <si>
    <t>75%Chiller_Energy</t>
  </si>
  <si>
    <t>50%Chiller_Energy</t>
  </si>
  <si>
    <t>25%Chiller_Energy</t>
  </si>
  <si>
    <t>5Barrel_CO2</t>
  </si>
  <si>
    <t>5Barrel_Energy</t>
  </si>
  <si>
    <t>10Barrel_CO2</t>
  </si>
  <si>
    <t>10Barrel_Energy</t>
  </si>
  <si>
    <t>20Barrel_CO2</t>
  </si>
  <si>
    <t>20Barrel_Energy</t>
  </si>
  <si>
    <t>carbon dioxide assessment for baseline system: 62 gallon beer carbonated in BGAL system at 1 gpm flowrate</t>
  </si>
  <si>
    <t>energy assessment for baseline system: 62 gallon beer carbonated in BGAL system at 1 gpm flowrate</t>
  </si>
  <si>
    <t>energy assessment for system utilizing an average of 75% max power demand on the chiller with 1 gpm flowrate. Carbon dioxide assessment for this scenario is identical to baseline</t>
  </si>
  <si>
    <t>energy assessment for system utilizing an average of 50% max power demand on the chiller with 1 gpm flowrate. Carbon dioxide assessment for this scenario is identical to baseline</t>
  </si>
  <si>
    <t>energy assessment for system utilizing an average of 25% max power demand on the chiller with 1 gpm flowrate. Carbon dioxide assessment for this scenario is identical to baseline</t>
  </si>
  <si>
    <t>carbon dioxide assessment for 5 barrel system: 155 gallon beer carbonated in BGAL system at 1 gpm flowrate</t>
  </si>
  <si>
    <t>energy assessment for 5 barrel system: 155 gallon beer carbonated in BGAL system at 1 gpm flowrate</t>
  </si>
  <si>
    <t>carbon dioxide assessment for 10 barrel system: 310 gallon beer carbonated in BGAL system at 1 gpm flowrate</t>
  </si>
  <si>
    <t>energy assessment for 10 barrel system: 310 gallon beer carbonated in BGAL system at 1 gpm flowrate</t>
  </si>
  <si>
    <t>carbon dioxide assessment for 20 barrel system: 620 gallon beer carbonated in BGAL system at 1 gpm flowrate</t>
  </si>
  <si>
    <t>energy assessment for 20 barrel system: 620 gallon beer carbonated in BGAL system at 1 gpm flowrate</t>
  </si>
  <si>
    <t>energy assessment for system with 2 gpm flowrate. Carbon dioxide assessment for this scenario is identical to baseline</t>
  </si>
  <si>
    <t>energy assessment for system with 0.5 gpm floware. Carbon dioxide assessment for this scenario is identical to baseline</t>
  </si>
  <si>
    <t>2GPM_Energy</t>
  </si>
  <si>
    <t>0.5GPM_Energy</t>
  </si>
  <si>
    <t>0.25GPM_Energy</t>
  </si>
  <si>
    <t>energy assessment for system with 0.25 gpm flowrate. Carbon dioxide assessment for this scenario is identical to 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</si>
</sst>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2" borderId="6" xfId="0" applyFill="1" applyBorder="1"/>
    <xf numFmtId="2" fontId="0" fillId="3" borderId="6" xfId="0" applyNumberFormat="1" applyFill="1" applyBorder="1"/>
    <xf numFmtId="2" fontId="0" fillId="2" borderId="6" xfId="0" applyNumberFormat="1" applyFill="1" applyBorder="1"/>
    <xf numFmtId="2" fontId="0" fillId="2" borderId="7" xfId="0" applyNumberFormat="1" applyFill="1" applyBorder="1"/>
    <xf numFmtId="2" fontId="0" fillId="0" borderId="8" xfId="0" applyNumberFormat="1" applyBorder="1"/>
    <xf numFmtId="2" fontId="0" fillId="0" borderId="7" xfId="0" applyNumberFormat="1" applyBorder="1"/>
    <xf numFmtId="0" fontId="0" fillId="0" borderId="9" xfId="0" applyBorder="1"/>
    <xf numFmtId="0" fontId="0" fillId="2" borderId="10" xfId="0" applyFill="1" applyBorder="1"/>
    <xf numFmtId="2" fontId="0" fillId="3" borderId="10" xfId="0" applyNumberFormat="1" applyFill="1" applyBorder="1"/>
    <xf numFmtId="2" fontId="0" fillId="2" borderId="11" xfId="0" applyNumberFormat="1" applyFill="1" applyBorder="1"/>
    <xf numFmtId="2" fontId="0" fillId="0" borderId="9" xfId="0" applyNumberFormat="1" applyBorder="1"/>
    <xf numFmtId="2" fontId="0" fillId="0" borderId="11" xfId="0" applyNumberFormat="1" applyBorder="1"/>
    <xf numFmtId="0" fontId="0" fillId="0" borderId="12" xfId="0" applyBorder="1"/>
    <xf numFmtId="0" fontId="0" fillId="2" borderId="13" xfId="0" applyFill="1" applyBorder="1"/>
    <xf numFmtId="2" fontId="0" fillId="3" borderId="13" xfId="0" applyNumberFormat="1" applyFill="1" applyBorder="1"/>
    <xf numFmtId="2" fontId="0" fillId="3" borderId="14" xfId="0" applyNumberFormat="1" applyFill="1" applyBorder="1"/>
    <xf numFmtId="2" fontId="0" fillId="4" borderId="15" xfId="0" applyNumberFormat="1" applyFill="1" applyBorder="1"/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6" xfId="0" applyBorder="1"/>
    <xf numFmtId="0" fontId="0" fillId="0" borderId="19" xfId="0" applyBorder="1"/>
    <xf numFmtId="0" fontId="0" fillId="2" borderId="20" xfId="0" applyFill="1" applyBorder="1"/>
    <xf numFmtId="0" fontId="0" fillId="3" borderId="20" xfId="0" applyFill="1" applyBorder="1"/>
    <xf numFmtId="2" fontId="0" fillId="3" borderId="20" xfId="0" applyNumberFormat="1" applyFill="1" applyBorder="1"/>
    <xf numFmtId="2" fontId="0" fillId="4" borderId="20" xfId="0" applyNumberFormat="1" applyFill="1" applyBorder="1"/>
    <xf numFmtId="2" fontId="0" fillId="0" borderId="20" xfId="0" applyNumberFormat="1" applyBorder="1"/>
    <xf numFmtId="2" fontId="0" fillId="0" borderId="21" xfId="0" applyNumberFormat="1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2" borderId="25" xfId="0" applyFill="1" applyBorder="1"/>
    <xf numFmtId="0" fontId="0" fillId="0" borderId="25" xfId="0" applyBorder="1"/>
    <xf numFmtId="2" fontId="0" fillId="0" borderId="26" xfId="0" applyNumberFormat="1" applyBorder="1"/>
    <xf numFmtId="2" fontId="0" fillId="0" borderId="27" xfId="0" applyNumberFormat="1" applyBorder="1"/>
    <xf numFmtId="2" fontId="0" fillId="0" borderId="28" xfId="0" applyNumberFormat="1" applyBorder="1"/>
    <xf numFmtId="0" fontId="0" fillId="0" borderId="10" xfId="0" applyBorder="1"/>
    <xf numFmtId="0" fontId="0" fillId="0" borderId="27" xfId="0" applyBorder="1"/>
    <xf numFmtId="0" fontId="0" fillId="0" borderId="29" xfId="0" applyBorder="1"/>
    <xf numFmtId="0" fontId="0" fillId="4" borderId="29" xfId="0" applyFill="1" applyBorder="1"/>
    <xf numFmtId="2" fontId="0" fillId="4" borderId="28" xfId="0" applyNumberFormat="1" applyFill="1" applyBorder="1"/>
    <xf numFmtId="0" fontId="0" fillId="0" borderId="30" xfId="0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0" fillId="4" borderId="33" xfId="0" applyFill="1" applyBorder="1" applyAlignment="1">
      <alignment horizontal="center"/>
    </xf>
    <xf numFmtId="2" fontId="0" fillId="3" borderId="25" xfId="0" applyNumberFormat="1" applyFill="1" applyBorder="1"/>
    <xf numFmtId="2" fontId="0" fillId="3" borderId="26" xfId="0" applyNumberFormat="1" applyFill="1" applyBorder="1"/>
    <xf numFmtId="2" fontId="0" fillId="3" borderId="11" xfId="0" applyNumberFormat="1" applyFill="1" applyBorder="1"/>
    <xf numFmtId="2" fontId="0" fillId="3" borderId="29" xfId="0" applyNumberFormat="1" applyFill="1" applyBorder="1"/>
    <xf numFmtId="2" fontId="0" fillId="3" borderId="28" xfId="0" applyNumberFormat="1" applyFill="1" applyBorder="1"/>
    <xf numFmtId="2" fontId="0" fillId="4" borderId="21" xfId="0" applyNumberFormat="1" applyFill="1" applyBorder="1"/>
    <xf numFmtId="0" fontId="0" fillId="0" borderId="4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3" borderId="25" xfId="0" applyFill="1" applyBorder="1"/>
    <xf numFmtId="11" fontId="0" fillId="3" borderId="25" xfId="0" applyNumberFormat="1" applyFill="1" applyBorder="1"/>
    <xf numFmtId="11" fontId="0" fillId="3" borderId="26" xfId="0" applyNumberFormat="1" applyFill="1" applyBorder="1"/>
    <xf numFmtId="0" fontId="0" fillId="0" borderId="8" xfId="0" applyBorder="1"/>
    <xf numFmtId="0" fontId="0" fillId="3" borderId="10" xfId="0" applyFill="1" applyBorder="1"/>
    <xf numFmtId="11" fontId="0" fillId="3" borderId="10" xfId="0" applyNumberFormat="1" applyFill="1" applyBorder="1"/>
    <xf numFmtId="11" fontId="0" fillId="3" borderId="11" xfId="0" applyNumberFormat="1" applyFill="1" applyBorder="1"/>
    <xf numFmtId="11" fontId="0" fillId="0" borderId="11" xfId="0" applyNumberFormat="1" applyBorder="1"/>
    <xf numFmtId="2" fontId="0" fillId="0" borderId="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2" borderId="10" xfId="0" applyNumberFormat="1" applyFill="1" applyBorder="1"/>
    <xf numFmtId="0" fontId="0" fillId="2" borderId="29" xfId="0" applyFill="1" applyBorder="1"/>
    <xf numFmtId="0" fontId="0" fillId="3" borderId="29" xfId="0" applyFill="1" applyBorder="1"/>
    <xf numFmtId="2" fontId="0" fillId="2" borderId="29" xfId="0" applyNumberFormat="1" applyFill="1" applyBorder="1"/>
    <xf numFmtId="11" fontId="0" fillId="3" borderId="29" xfId="0" applyNumberFormat="1" applyFill="1" applyBorder="1"/>
    <xf numFmtId="11" fontId="0" fillId="3" borderId="28" xfId="0" applyNumberFormat="1" applyFill="1" applyBorder="1"/>
    <xf numFmtId="0" fontId="0" fillId="0" borderId="14" xfId="0" applyBorder="1"/>
    <xf numFmtId="11" fontId="0" fillId="4" borderId="26" xfId="0" applyNumberFormat="1" applyFill="1" applyBorder="1"/>
    <xf numFmtId="11" fontId="0" fillId="4" borderId="11" xfId="0" applyNumberFormat="1" applyFill="1" applyBorder="1"/>
    <xf numFmtId="2" fontId="0" fillId="0" borderId="12" xfId="0" applyNumberFormat="1" applyBorder="1"/>
    <xf numFmtId="2" fontId="0" fillId="0" borderId="15" xfId="0" applyNumberFormat="1" applyBorder="1"/>
    <xf numFmtId="11" fontId="0" fillId="4" borderId="28" xfId="0" applyNumberFormat="1" applyFill="1" applyBorder="1"/>
    <xf numFmtId="2" fontId="0" fillId="0" borderId="1" xfId="0" applyNumberFormat="1" applyBorder="1"/>
    <xf numFmtId="2" fontId="0" fillId="0" borderId="2" xfId="0" applyNumberFormat="1" applyBorder="1"/>
    <xf numFmtId="2" fontId="0" fillId="0" borderId="3" xfId="0" applyNumberFormat="1" applyBorder="1"/>
    <xf numFmtId="2" fontId="0" fillId="4" borderId="6" xfId="0" applyNumberFormat="1" applyFill="1" applyBorder="1"/>
    <xf numFmtId="11" fontId="0" fillId="3" borderId="6" xfId="0" applyNumberFormat="1" applyFill="1" applyBorder="1"/>
    <xf numFmtId="11" fontId="0" fillId="4" borderId="7" xfId="0" applyNumberFormat="1" applyFill="1" applyBorder="1"/>
    <xf numFmtId="2" fontId="0" fillId="4" borderId="29" xfId="0" applyNumberFormat="1" applyFill="1" applyBorder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7132A-15C3-4C32-9A5E-094F2A208F0D}">
  <dimension ref="B2:C27"/>
  <sheetViews>
    <sheetView tabSelected="1" workbookViewId="0">
      <selection activeCell="G29" sqref="G29"/>
    </sheetView>
  </sheetViews>
  <sheetFormatPr defaultRowHeight="15" x14ac:dyDescent="0.25"/>
  <cols>
    <col min="2" max="2" width="24.140625" customWidth="1"/>
    <col min="3" max="3" width="11.140625" bestFit="1" customWidth="1"/>
  </cols>
  <sheetData>
    <row r="2" spans="2:3" x14ac:dyDescent="0.25">
      <c r="B2" t="s">
        <v>126</v>
      </c>
    </row>
    <row r="4" spans="2:3" x14ac:dyDescent="0.25">
      <c r="B4" t="s">
        <v>127</v>
      </c>
    </row>
    <row r="6" spans="2:3" x14ac:dyDescent="0.25">
      <c r="B6" t="s">
        <v>128</v>
      </c>
    </row>
    <row r="7" spans="2:3" ht="15.75" thickBot="1" x14ac:dyDescent="0.3"/>
    <row r="8" spans="2:3" ht="15.75" thickBot="1" x14ac:dyDescent="0.3">
      <c r="B8" s="50" t="s">
        <v>46</v>
      </c>
    </row>
    <row r="9" spans="2:3" x14ac:dyDescent="0.25">
      <c r="B9" s="51" t="s">
        <v>47</v>
      </c>
    </row>
    <row r="10" spans="2:3" x14ac:dyDescent="0.25">
      <c r="B10" s="55" t="s">
        <v>49</v>
      </c>
    </row>
    <row r="11" spans="2:3" ht="15.75" thickBot="1" x14ac:dyDescent="0.3">
      <c r="B11" s="56" t="s">
        <v>57</v>
      </c>
    </row>
    <row r="13" spans="2:3" x14ac:dyDescent="0.25">
      <c r="B13" t="s">
        <v>129</v>
      </c>
      <c r="C13" t="s">
        <v>130</v>
      </c>
    </row>
    <row r="14" spans="2:3" x14ac:dyDescent="0.25">
      <c r="B14" t="s">
        <v>131</v>
      </c>
      <c r="C14" t="s">
        <v>142</v>
      </c>
    </row>
    <row r="15" spans="2:3" x14ac:dyDescent="0.25">
      <c r="B15" t="s">
        <v>132</v>
      </c>
      <c r="C15" t="s">
        <v>143</v>
      </c>
    </row>
    <row r="16" spans="2:3" x14ac:dyDescent="0.25">
      <c r="B16" t="s">
        <v>133</v>
      </c>
      <c r="C16" t="s">
        <v>144</v>
      </c>
    </row>
    <row r="17" spans="2:3" x14ac:dyDescent="0.25">
      <c r="B17" t="s">
        <v>134</v>
      </c>
      <c r="C17" t="s">
        <v>145</v>
      </c>
    </row>
    <row r="18" spans="2:3" x14ac:dyDescent="0.25">
      <c r="B18" t="s">
        <v>135</v>
      </c>
      <c r="C18" t="s">
        <v>146</v>
      </c>
    </row>
    <row r="19" spans="2:3" x14ac:dyDescent="0.25">
      <c r="B19" t="s">
        <v>136</v>
      </c>
      <c r="C19" t="s">
        <v>147</v>
      </c>
    </row>
    <row r="20" spans="2:3" x14ac:dyDescent="0.25">
      <c r="B20" t="s">
        <v>137</v>
      </c>
      <c r="C20" t="s">
        <v>148</v>
      </c>
    </row>
    <row r="21" spans="2:3" x14ac:dyDescent="0.25">
      <c r="B21" t="s">
        <v>138</v>
      </c>
      <c r="C21" t="s">
        <v>149</v>
      </c>
    </row>
    <row r="22" spans="2:3" x14ac:dyDescent="0.25">
      <c r="B22" t="s">
        <v>139</v>
      </c>
      <c r="C22" t="s">
        <v>150</v>
      </c>
    </row>
    <row r="23" spans="2:3" x14ac:dyDescent="0.25">
      <c r="B23" t="s">
        <v>140</v>
      </c>
      <c r="C23" t="s">
        <v>151</v>
      </c>
    </row>
    <row r="24" spans="2:3" x14ac:dyDescent="0.25">
      <c r="B24" t="s">
        <v>141</v>
      </c>
      <c r="C24" t="s">
        <v>152</v>
      </c>
    </row>
    <row r="25" spans="2:3" x14ac:dyDescent="0.25">
      <c r="B25" t="s">
        <v>155</v>
      </c>
      <c r="C25" t="s">
        <v>153</v>
      </c>
    </row>
    <row r="26" spans="2:3" x14ac:dyDescent="0.25">
      <c r="B26" t="s">
        <v>156</v>
      </c>
      <c r="C26" t="s">
        <v>154</v>
      </c>
    </row>
    <row r="27" spans="2:3" x14ac:dyDescent="0.25">
      <c r="B27" t="s">
        <v>157</v>
      </c>
      <c r="C27" t="s">
        <v>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2F8E0-84E8-435B-A43B-1AC9E5B44F30}">
  <dimension ref="A1:O21"/>
  <sheetViews>
    <sheetView workbookViewId="0">
      <selection sqref="A1:XFD1048576"/>
    </sheetView>
  </sheetViews>
  <sheetFormatPr defaultRowHeight="15" x14ac:dyDescent="0.25"/>
  <cols>
    <col min="1" max="1" width="21.140625" bestFit="1" customWidth="1"/>
    <col min="2" max="3" width="22.28515625" bestFit="1" customWidth="1"/>
    <col min="4" max="4" width="16.7109375" bestFit="1" customWidth="1"/>
    <col min="5" max="5" width="20.42578125" bestFit="1" customWidth="1"/>
    <col min="6" max="6" width="22.28515625" bestFit="1" customWidth="1"/>
    <col min="7" max="7" width="23.5703125" bestFit="1" customWidth="1"/>
    <col min="8" max="8" width="32" bestFit="1" customWidth="1"/>
    <col min="9" max="9" width="37.5703125" bestFit="1" customWidth="1"/>
    <col min="10" max="10" width="13.5703125" bestFit="1" customWidth="1"/>
    <col min="11" max="11" width="7.5703125" bestFit="1" customWidth="1"/>
    <col min="12" max="12" width="14.5703125" bestFit="1" customWidth="1"/>
    <col min="14" max="14" width="24.5703125" bestFit="1" customWidth="1"/>
    <col min="18" max="18" width="8.7109375" customWidth="1"/>
  </cols>
  <sheetData>
    <row r="1" spans="1:15" ht="15.7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5" ht="15.75" thickBot="1" x14ac:dyDescent="0.3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7" t="s">
        <v>12</v>
      </c>
      <c r="N2" s="1" t="s">
        <v>13</v>
      </c>
      <c r="O2" s="3"/>
    </row>
    <row r="3" spans="1:15" x14ac:dyDescent="0.25">
      <c r="A3" s="8" t="s">
        <v>14</v>
      </c>
      <c r="B3" s="9">
        <v>15</v>
      </c>
      <c r="C3" s="9">
        <v>298</v>
      </c>
      <c r="D3" s="9">
        <v>73</v>
      </c>
      <c r="E3" s="10">
        <f>D3/$O$5/1000</f>
        <v>0.27651515151515149</v>
      </c>
      <c r="F3" s="10">
        <f>B3*$O$11/$O$6/C3*$O$5*1000</f>
        <v>1211.2323396804065</v>
      </c>
      <c r="G3" s="10">
        <f>B3*$O$12/$O$6/C3*$O$5*1000</f>
        <v>1840.6883725598996</v>
      </c>
      <c r="H3" s="10">
        <f>B3*D3/($O$6*C3)</f>
        <v>11.56505849194679</v>
      </c>
      <c r="I3" s="10">
        <f>E3</f>
        <v>0.27651515151515149</v>
      </c>
      <c r="J3" s="10">
        <f>I3*F3</f>
        <v>334.92409392677905</v>
      </c>
      <c r="K3" s="11">
        <v>0</v>
      </c>
      <c r="L3" s="12">
        <v>0</v>
      </c>
      <c r="N3" s="13" t="s">
        <v>15</v>
      </c>
      <c r="O3" s="14">
        <v>8.3000000000000004E-2</v>
      </c>
    </row>
    <row r="4" spans="1:15" x14ac:dyDescent="0.25">
      <c r="A4" s="15" t="s">
        <v>16</v>
      </c>
      <c r="B4" s="16">
        <v>15</v>
      </c>
      <c r="C4" s="16">
        <v>298</v>
      </c>
      <c r="D4" s="16">
        <v>73</v>
      </c>
      <c r="E4" s="17">
        <f t="shared" ref="E4:E5" si="0">D4/$O$5/1000</f>
        <v>0.27651515151515149</v>
      </c>
      <c r="F4" s="17">
        <f>B4*$O$11/$O$6/C4*$O$5*1000</f>
        <v>1211.2323396804065</v>
      </c>
      <c r="G4" s="17">
        <f>B4*$O$12/$O$6/C4*$O$5*1000</f>
        <v>1840.6883725598996</v>
      </c>
      <c r="H4" s="10">
        <f>B4*D4/($O$6*C4)</f>
        <v>11.56505849194679</v>
      </c>
      <c r="I4" s="17">
        <f>(D4-E8)/O5/1000</f>
        <v>0</v>
      </c>
      <c r="J4" s="17">
        <f>I4*F4</f>
        <v>0</v>
      </c>
      <c r="K4" s="17">
        <f>E4-I4</f>
        <v>0.27651515151515149</v>
      </c>
      <c r="L4" s="18">
        <f>K4*G4</f>
        <v>508.97822423057823</v>
      </c>
      <c r="N4" s="19" t="s">
        <v>17</v>
      </c>
      <c r="O4" s="20">
        <v>14.5</v>
      </c>
    </row>
    <row r="5" spans="1:15" ht="15.75" thickBot="1" x14ac:dyDescent="0.3">
      <c r="A5" s="21" t="s">
        <v>18</v>
      </c>
      <c r="B5" s="22">
        <v>40</v>
      </c>
      <c r="C5" s="22">
        <v>298</v>
      </c>
      <c r="D5" s="22">
        <v>73</v>
      </c>
      <c r="E5" s="23">
        <f t="shared" si="0"/>
        <v>0.27651515151515149</v>
      </c>
      <c r="F5" s="23">
        <f>B5*$O$11/$O$6/C5*$O$5*1000</f>
        <v>3229.9529058144171</v>
      </c>
      <c r="G5" s="23">
        <f>B5*$O$12/$O$6/C5*$O$5*1000</f>
        <v>4908.5023268263985</v>
      </c>
      <c r="H5" s="24">
        <f>B5*D5/($O$6*C5)</f>
        <v>30.840155978524773</v>
      </c>
      <c r="I5" s="23">
        <f>J5/F5</f>
        <v>0</v>
      </c>
      <c r="J5" s="23">
        <f>J4</f>
        <v>0</v>
      </c>
      <c r="K5" s="23">
        <f>E5-I5</f>
        <v>0.27651515151515149</v>
      </c>
      <c r="L5" s="25">
        <f>G5*K5</f>
        <v>1357.2752646148751</v>
      </c>
      <c r="N5" s="19" t="s">
        <v>19</v>
      </c>
      <c r="O5" s="20">
        <v>0.26400000000000001</v>
      </c>
    </row>
    <row r="6" spans="1:15" ht="15.75" thickBot="1" x14ac:dyDescent="0.3">
      <c r="A6" s="26" t="s">
        <v>20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8"/>
      <c r="N6" s="19" t="s">
        <v>21</v>
      </c>
      <c r="O6" s="20">
        <f>O3*O4*O5</f>
        <v>0.31772400000000001</v>
      </c>
    </row>
    <row r="7" spans="1:15" ht="15.75" thickBot="1" x14ac:dyDescent="0.3">
      <c r="A7" s="29" t="s">
        <v>1</v>
      </c>
      <c r="B7" s="5" t="s">
        <v>22</v>
      </c>
      <c r="C7" s="6" t="s">
        <v>23</v>
      </c>
      <c r="D7" s="6" t="s">
        <v>24</v>
      </c>
      <c r="E7" s="6" t="s">
        <v>25</v>
      </c>
      <c r="F7" s="6" t="s">
        <v>26</v>
      </c>
      <c r="G7" s="6" t="s">
        <v>27</v>
      </c>
      <c r="H7" s="6" t="s">
        <v>28</v>
      </c>
      <c r="I7" s="6" t="s">
        <v>29</v>
      </c>
      <c r="J7" s="6" t="s">
        <v>30</v>
      </c>
      <c r="K7" s="6"/>
      <c r="L7" s="7"/>
      <c r="N7" s="19" t="s">
        <v>31</v>
      </c>
      <c r="O7" s="20">
        <v>1.96</v>
      </c>
    </row>
    <row r="8" spans="1:15" ht="15.75" thickBot="1" x14ac:dyDescent="0.3">
      <c r="A8" s="30" t="s">
        <v>32</v>
      </c>
      <c r="B8" s="31">
        <v>5</v>
      </c>
      <c r="C8" s="31">
        <v>15</v>
      </c>
      <c r="D8" s="32">
        <f>B8*C8</f>
        <v>75</v>
      </c>
      <c r="E8" s="33">
        <f>IF((D3-D8)&lt;=0,D3,D8)</f>
        <v>73</v>
      </c>
      <c r="F8" s="33">
        <f>IF((D8-D3)&gt;=0,D8-D3,0)</f>
        <v>2</v>
      </c>
      <c r="G8" s="33">
        <f>D8-F8</f>
        <v>73</v>
      </c>
      <c r="H8" s="33">
        <f>G8/O5/1000*G4</f>
        <v>508.97822423057823</v>
      </c>
      <c r="I8" s="34">
        <f>F8/O5/1000*G4</f>
        <v>13.944608883029542</v>
      </c>
      <c r="J8" s="34">
        <f>D8/O5/1000*G4</f>
        <v>522.92283311360779</v>
      </c>
      <c r="K8" s="35"/>
      <c r="L8" s="36"/>
      <c r="N8" s="19" t="s">
        <v>33</v>
      </c>
      <c r="O8" s="20">
        <v>1000</v>
      </c>
    </row>
    <row r="9" spans="1:15" ht="15.75" thickBot="1" x14ac:dyDescent="0.3">
      <c r="N9" s="19" t="s">
        <v>34</v>
      </c>
      <c r="O9" s="20">
        <v>1</v>
      </c>
    </row>
    <row r="10" spans="1:15" ht="15.75" thickBot="1" x14ac:dyDescent="0.3">
      <c r="A10" s="26" t="s">
        <v>35</v>
      </c>
      <c r="B10" s="27"/>
      <c r="C10" s="27"/>
      <c r="D10" s="27"/>
      <c r="E10" s="28"/>
      <c r="N10" s="19" t="s">
        <v>36</v>
      </c>
      <c r="O10" s="20">
        <v>62</v>
      </c>
    </row>
    <row r="11" spans="1:15" ht="15.75" thickBot="1" x14ac:dyDescent="0.3">
      <c r="A11" s="37" t="s">
        <v>1</v>
      </c>
      <c r="B11" s="38" t="s">
        <v>37</v>
      </c>
      <c r="C11" s="38" t="s">
        <v>38</v>
      </c>
      <c r="D11" s="38" t="s">
        <v>39</v>
      </c>
      <c r="E11" s="39" t="s">
        <v>40</v>
      </c>
      <c r="N11" s="19" t="s">
        <v>41</v>
      </c>
      <c r="O11" s="20">
        <v>28.96</v>
      </c>
    </row>
    <row r="12" spans="1:15" ht="15.75" thickBot="1" x14ac:dyDescent="0.3">
      <c r="A12" s="8" t="s">
        <v>42</v>
      </c>
      <c r="B12" s="40">
        <v>0.88</v>
      </c>
      <c r="C12" s="40">
        <f>B12*$O$7</f>
        <v>1.7247999999999999</v>
      </c>
      <c r="D12" s="41"/>
      <c r="E12" s="42"/>
      <c r="N12" s="43" t="s">
        <v>43</v>
      </c>
      <c r="O12" s="44">
        <v>44.01</v>
      </c>
    </row>
    <row r="13" spans="1:15" ht="15.75" thickBot="1" x14ac:dyDescent="0.3">
      <c r="A13" s="15" t="s">
        <v>44</v>
      </c>
      <c r="B13" s="16">
        <v>2.5</v>
      </c>
      <c r="C13" s="16">
        <f>B13*$O$7</f>
        <v>4.9000000000000004</v>
      </c>
      <c r="D13" s="45"/>
      <c r="E13" s="20"/>
    </row>
    <row r="14" spans="1:15" ht="15.75" thickBot="1" x14ac:dyDescent="0.3">
      <c r="A14" s="46" t="s">
        <v>45</v>
      </c>
      <c r="B14" s="47"/>
      <c r="C14" s="47"/>
      <c r="D14" s="48">
        <f>C13-C12</f>
        <v>3.1752000000000002</v>
      </c>
      <c r="E14" s="49">
        <f>D14*O10/O5</f>
        <v>745.69090909090903</v>
      </c>
      <c r="N14" s="50" t="s">
        <v>46</v>
      </c>
    </row>
    <row r="15" spans="1:15" ht="15.75" thickBot="1" x14ac:dyDescent="0.3">
      <c r="N15" s="51" t="s">
        <v>47</v>
      </c>
    </row>
    <row r="16" spans="1:15" ht="15.75" thickBot="1" x14ac:dyDescent="0.3">
      <c r="A16" s="52" t="s">
        <v>48</v>
      </c>
      <c r="B16" s="53"/>
      <c r="C16" s="53"/>
      <c r="D16" s="53"/>
      <c r="E16" s="53"/>
      <c r="F16" s="53"/>
      <c r="G16" s="54"/>
      <c r="N16" s="55" t="s">
        <v>49</v>
      </c>
    </row>
    <row r="17" spans="1:14" ht="15.75" thickBot="1" x14ac:dyDescent="0.3">
      <c r="A17" s="37" t="s">
        <v>50</v>
      </c>
      <c r="B17" s="38" t="s">
        <v>51</v>
      </c>
      <c r="C17" s="38" t="s">
        <v>52</v>
      </c>
      <c r="D17" s="38" t="s">
        <v>53</v>
      </c>
      <c r="E17" s="38" t="s">
        <v>54</v>
      </c>
      <c r="F17" s="38" t="s">
        <v>55</v>
      </c>
      <c r="G17" s="39" t="s">
        <v>56</v>
      </c>
      <c r="N17" s="56" t="s">
        <v>57</v>
      </c>
    </row>
    <row r="18" spans="1:14" x14ac:dyDescent="0.25">
      <c r="A18" s="8" t="s">
        <v>58</v>
      </c>
      <c r="B18" s="57">
        <f>J8+(L5-L4)</f>
        <v>1371.2198734979047</v>
      </c>
      <c r="C18" s="57">
        <f>B18/$O$8</f>
        <v>1.3712198734979046</v>
      </c>
      <c r="D18" s="57">
        <f>I8</f>
        <v>13.944608883029542</v>
      </c>
      <c r="E18" s="57">
        <f>D18/$O$8</f>
        <v>1.3944608883029541E-2</v>
      </c>
      <c r="F18" s="57">
        <v>0</v>
      </c>
      <c r="G18" s="58">
        <f>F18/$O$8</f>
        <v>0</v>
      </c>
    </row>
    <row r="19" spans="1:14" x14ac:dyDescent="0.25">
      <c r="A19" s="15" t="s">
        <v>59</v>
      </c>
      <c r="B19" s="17">
        <f>E14</f>
        <v>745.69090909090903</v>
      </c>
      <c r="C19" s="17">
        <f t="shared" ref="C19:C21" si="1">B19/$O$8</f>
        <v>0.74569090909090907</v>
      </c>
      <c r="D19" s="17">
        <v>0</v>
      </c>
      <c r="E19" s="17">
        <f t="shared" ref="E19:E21" si="2">D19/$O$8</f>
        <v>0</v>
      </c>
      <c r="F19" s="17">
        <f>B19</f>
        <v>745.69090909090903</v>
      </c>
      <c r="G19" s="59">
        <f t="shared" ref="G19:G20" si="3">F19/$O$8</f>
        <v>0.74569090909090907</v>
      </c>
    </row>
    <row r="20" spans="1:14" ht="15.75" thickBot="1" x14ac:dyDescent="0.3">
      <c r="A20" s="46" t="s">
        <v>60</v>
      </c>
      <c r="B20" s="60">
        <f>0</f>
        <v>0</v>
      </c>
      <c r="C20" s="60">
        <f t="shared" si="1"/>
        <v>0</v>
      </c>
      <c r="D20" s="60">
        <f>L5</f>
        <v>1357.2752646148751</v>
      </c>
      <c r="E20" s="60">
        <f t="shared" si="2"/>
        <v>1.3572752646148751</v>
      </c>
      <c r="F20" s="60">
        <v>0</v>
      </c>
      <c r="G20" s="61">
        <f t="shared" si="3"/>
        <v>0</v>
      </c>
    </row>
    <row r="21" spans="1:14" ht="15.75" thickBot="1" x14ac:dyDescent="0.3">
      <c r="A21" s="30" t="s">
        <v>61</v>
      </c>
      <c r="B21" s="34">
        <f>SUM(B18:B20)</f>
        <v>2116.9107825888136</v>
      </c>
      <c r="C21" s="34">
        <f t="shared" si="1"/>
        <v>2.1169107825888136</v>
      </c>
      <c r="D21" s="34">
        <f>SUM(D18:D20)</f>
        <v>1371.2198734979047</v>
      </c>
      <c r="E21" s="34">
        <f t="shared" si="2"/>
        <v>1.3712198734979046</v>
      </c>
      <c r="F21" s="34">
        <f>SUM(F18:F20)</f>
        <v>745.69090909090903</v>
      </c>
      <c r="G21" s="62">
        <f>SUM(G18:G20)</f>
        <v>0.74569090909090907</v>
      </c>
    </row>
  </sheetData>
  <mergeCells count="5">
    <mergeCell ref="A1:L1"/>
    <mergeCell ref="N2:O2"/>
    <mergeCell ref="A6:L6"/>
    <mergeCell ref="A10:E10"/>
    <mergeCell ref="A16:G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0F648-7F0A-47AA-8F5D-0C0B6A1D29CA}">
  <dimension ref="A1:O34"/>
  <sheetViews>
    <sheetView workbookViewId="0">
      <selection activeCell="G34" sqref="G34"/>
    </sheetView>
  </sheetViews>
  <sheetFormatPr defaultRowHeight="15" x14ac:dyDescent="0.25"/>
  <cols>
    <col min="1" max="1" width="30.28515625" bestFit="1" customWidth="1"/>
    <col min="2" max="2" width="22.85546875" bestFit="1" customWidth="1"/>
    <col min="3" max="3" width="22.42578125" bestFit="1" customWidth="1"/>
    <col min="4" max="4" width="26.28515625" bestFit="1" customWidth="1"/>
    <col min="5" max="5" width="29" bestFit="1" customWidth="1"/>
    <col min="6" max="6" width="26.28515625" bestFit="1" customWidth="1"/>
    <col min="7" max="7" width="31.42578125" bestFit="1" customWidth="1"/>
    <col min="8" max="8" width="27.7109375" bestFit="1" customWidth="1"/>
    <col min="9" max="9" width="17.7109375" bestFit="1" customWidth="1"/>
    <col min="10" max="10" width="23.85546875" bestFit="1" customWidth="1"/>
    <col min="11" max="11" width="14.28515625" bestFit="1" customWidth="1"/>
    <col min="12" max="12" width="15.28515625" bestFit="1" customWidth="1"/>
    <col min="14" max="14" width="24.42578125" bestFit="1" customWidth="1"/>
  </cols>
  <sheetData>
    <row r="1" spans="1:15" ht="15.75" thickBot="1" x14ac:dyDescent="0.3">
      <c r="A1" s="63" t="s">
        <v>62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5"/>
    </row>
    <row r="2" spans="1:15" ht="15.75" thickBot="1" x14ac:dyDescent="0.3">
      <c r="A2" s="37" t="s">
        <v>63</v>
      </c>
      <c r="B2" s="38" t="s">
        <v>64</v>
      </c>
      <c r="C2" s="38" t="s">
        <v>65</v>
      </c>
      <c r="D2" s="38" t="s">
        <v>66</v>
      </c>
      <c r="E2" s="38" t="s">
        <v>67</v>
      </c>
      <c r="F2" s="38" t="s">
        <v>68</v>
      </c>
      <c r="G2" s="38" t="s">
        <v>69</v>
      </c>
      <c r="H2" s="38" t="s">
        <v>70</v>
      </c>
      <c r="I2" s="38" t="s">
        <v>71</v>
      </c>
      <c r="J2" s="38" t="s">
        <v>72</v>
      </c>
      <c r="K2" s="38" t="s">
        <v>73</v>
      </c>
      <c r="L2" s="39" t="s">
        <v>74</v>
      </c>
      <c r="N2" s="1" t="s">
        <v>75</v>
      </c>
      <c r="O2" s="3"/>
    </row>
    <row r="3" spans="1:15" x14ac:dyDescent="0.25">
      <c r="A3" s="8" t="s">
        <v>76</v>
      </c>
      <c r="B3" s="40">
        <v>0.9</v>
      </c>
      <c r="C3" s="66">
        <f>B3*$O$22</f>
        <v>2.2859999999999998E-2</v>
      </c>
      <c r="D3" s="40">
        <v>1</v>
      </c>
      <c r="E3" s="40">
        <v>1</v>
      </c>
      <c r="F3" s="66">
        <f>E3*$O$23</f>
        <v>0.30480000000000002</v>
      </c>
      <c r="G3" s="40" t="s">
        <v>77</v>
      </c>
      <c r="H3" s="67">
        <f>$O$8/(PI()*C3^2/4)</f>
        <v>0.15381634566264385</v>
      </c>
      <c r="I3" s="67">
        <f>H3*C3/$O$6</f>
        <v>1465.1006924366825</v>
      </c>
      <c r="J3" s="66">
        <f>0.002/1000/C3</f>
        <v>8.7489063867016631E-5</v>
      </c>
      <c r="K3" s="67">
        <f>16/I3</f>
        <v>1.0920751100997432E-2</v>
      </c>
      <c r="L3" s="68">
        <f>K3*4*F3/C3</f>
        <v>0.58244005871986304</v>
      </c>
      <c r="N3" s="69" t="s">
        <v>3</v>
      </c>
      <c r="O3" s="14">
        <v>298</v>
      </c>
    </row>
    <row r="4" spans="1:15" x14ac:dyDescent="0.25">
      <c r="A4" s="15" t="s">
        <v>78</v>
      </c>
      <c r="B4" s="16">
        <v>0.9</v>
      </c>
      <c r="C4" s="70">
        <f t="shared" ref="C4:C19" si="0">B4*$O$22</f>
        <v>2.2859999999999998E-2</v>
      </c>
      <c r="D4" s="16">
        <v>1</v>
      </c>
      <c r="E4" s="16" t="s">
        <v>79</v>
      </c>
      <c r="F4" s="70" t="s">
        <v>79</v>
      </c>
      <c r="G4" s="16" t="s">
        <v>77</v>
      </c>
      <c r="H4" s="71">
        <f t="shared" ref="H4:H17" si="1">$O$8/(PI()*C4^2/4)</f>
        <v>0.15381634566264385</v>
      </c>
      <c r="I4" s="71">
        <f t="shared" ref="I4:I19" si="2">H4*C4/$O$6</f>
        <v>1465.1006924366825</v>
      </c>
      <c r="J4" s="70" t="s">
        <v>79</v>
      </c>
      <c r="K4" s="71" t="s">
        <v>79</v>
      </c>
      <c r="L4" s="72">
        <f>300/I5+(0.017*(1+3.5/B5^0.3))</f>
        <v>0.28317480649067917</v>
      </c>
      <c r="N4" s="15" t="s">
        <v>80</v>
      </c>
      <c r="O4" s="20">
        <v>1000</v>
      </c>
    </row>
    <row r="5" spans="1:15" x14ac:dyDescent="0.25">
      <c r="A5" s="15" t="s">
        <v>81</v>
      </c>
      <c r="B5" s="16">
        <v>0.9</v>
      </c>
      <c r="C5" s="70">
        <f t="shared" si="0"/>
        <v>2.2859999999999998E-2</v>
      </c>
      <c r="D5" s="16">
        <v>1</v>
      </c>
      <c r="E5" s="16" t="s">
        <v>79</v>
      </c>
      <c r="F5" s="70" t="s">
        <v>79</v>
      </c>
      <c r="G5" s="16" t="s">
        <v>77</v>
      </c>
      <c r="H5" s="71">
        <f t="shared" si="1"/>
        <v>0.15381634566264385</v>
      </c>
      <c r="I5" s="71">
        <f t="shared" si="2"/>
        <v>1465.1006924366825</v>
      </c>
      <c r="J5" s="70" t="s">
        <v>79</v>
      </c>
      <c r="K5" s="71" t="s">
        <v>79</v>
      </c>
      <c r="L5" s="72">
        <f>800/I6+(0.14*(1+4/B6^0.3))</f>
        <v>1.2640208336096581</v>
      </c>
      <c r="N5" s="15" t="s">
        <v>82</v>
      </c>
      <c r="O5" s="73">
        <f>2.4*10^-3</f>
        <v>2.3999999999999998E-3</v>
      </c>
    </row>
    <row r="6" spans="1:15" x14ac:dyDescent="0.25">
      <c r="A6" s="15" t="s">
        <v>83</v>
      </c>
      <c r="B6" s="16">
        <v>0.9</v>
      </c>
      <c r="C6" s="70">
        <f t="shared" si="0"/>
        <v>2.2859999999999998E-2</v>
      </c>
      <c r="D6" s="16">
        <v>1</v>
      </c>
      <c r="E6" s="16">
        <v>0.5</v>
      </c>
      <c r="F6" s="70">
        <f>E6*$O$23</f>
        <v>0.15240000000000001</v>
      </c>
      <c r="G6" s="16" t="s">
        <v>77</v>
      </c>
      <c r="H6" s="71">
        <f t="shared" si="1"/>
        <v>0.15381634566264385</v>
      </c>
      <c r="I6" s="71">
        <f t="shared" si="2"/>
        <v>1465.1006924366825</v>
      </c>
      <c r="J6" s="70">
        <f>0.002/1000/C6</f>
        <v>8.7489063867016631E-5</v>
      </c>
      <c r="K6" s="71">
        <f t="shared" ref="K6:K19" si="3">16/I6</f>
        <v>1.0920751100997432E-2</v>
      </c>
      <c r="L6" s="72">
        <f t="shared" ref="L6:L19" si="4">K6*4*F6/C6</f>
        <v>0.29122002935993152</v>
      </c>
      <c r="N6" s="15" t="s">
        <v>84</v>
      </c>
      <c r="O6" s="73">
        <f>O5/O4</f>
        <v>2.3999999999999999E-6</v>
      </c>
    </row>
    <row r="7" spans="1:15" x14ac:dyDescent="0.25">
      <c r="A7" s="15" t="s">
        <v>85</v>
      </c>
      <c r="B7" s="16">
        <v>0.9</v>
      </c>
      <c r="C7" s="70">
        <f t="shared" si="0"/>
        <v>2.2859999999999998E-2</v>
      </c>
      <c r="D7" s="16">
        <v>1</v>
      </c>
      <c r="E7" s="16">
        <v>0.5</v>
      </c>
      <c r="F7" s="70">
        <f>E7*$O$23</f>
        <v>0.15240000000000001</v>
      </c>
      <c r="G7" s="16" t="s">
        <v>77</v>
      </c>
      <c r="H7" s="71">
        <f t="shared" si="1"/>
        <v>0.15381634566264385</v>
      </c>
      <c r="I7" s="71">
        <f t="shared" si="2"/>
        <v>1465.1006924366825</v>
      </c>
      <c r="J7" s="70">
        <f t="shared" ref="J7:J19" si="5">0.002/1000/C7</f>
        <v>8.7489063867016631E-5</v>
      </c>
      <c r="K7" s="71">
        <f t="shared" si="3"/>
        <v>1.0920751100997432E-2</v>
      </c>
      <c r="L7" s="72">
        <f t="shared" si="4"/>
        <v>0.29122002935993152</v>
      </c>
      <c r="N7" s="15" t="s">
        <v>86</v>
      </c>
      <c r="O7" s="20">
        <v>1</v>
      </c>
    </row>
    <row r="8" spans="1:15" x14ac:dyDescent="0.25">
      <c r="A8" s="15" t="s">
        <v>87</v>
      </c>
      <c r="B8" s="16">
        <v>0.9</v>
      </c>
      <c r="C8" s="70">
        <f t="shared" si="0"/>
        <v>2.2859999999999998E-2</v>
      </c>
      <c r="D8" s="16">
        <v>1</v>
      </c>
      <c r="E8" s="16">
        <v>0.5</v>
      </c>
      <c r="F8" s="70">
        <f>E8*$O$23</f>
        <v>0.15240000000000001</v>
      </c>
      <c r="G8" s="16" t="s">
        <v>77</v>
      </c>
      <c r="H8" s="71">
        <f t="shared" si="1"/>
        <v>0.15381634566264385</v>
      </c>
      <c r="I8" s="71">
        <f t="shared" si="2"/>
        <v>1465.1006924366825</v>
      </c>
      <c r="J8" s="70">
        <f t="shared" si="5"/>
        <v>8.7489063867016631E-5</v>
      </c>
      <c r="K8" s="71">
        <f t="shared" si="3"/>
        <v>1.0920751100997432E-2</v>
      </c>
      <c r="L8" s="72">
        <f t="shared" si="4"/>
        <v>0.29122002935993152</v>
      </c>
      <c r="N8" s="15" t="s">
        <v>88</v>
      </c>
      <c r="O8" s="73">
        <f>O7/O16*O18/O20</f>
        <v>6.3131313131313131E-5</v>
      </c>
    </row>
    <row r="9" spans="1:15" ht="15.75" thickBot="1" x14ac:dyDescent="0.3">
      <c r="A9" s="15" t="s">
        <v>81</v>
      </c>
      <c r="B9" s="16">
        <v>0.9</v>
      </c>
      <c r="C9" s="70">
        <f t="shared" si="0"/>
        <v>2.2859999999999998E-2</v>
      </c>
      <c r="D9" s="16">
        <v>1</v>
      </c>
      <c r="E9" s="16" t="s">
        <v>79</v>
      </c>
      <c r="F9" s="70" t="s">
        <v>79</v>
      </c>
      <c r="G9" s="16" t="s">
        <v>77</v>
      </c>
      <c r="H9" s="71">
        <f t="shared" si="1"/>
        <v>0.15381634566264385</v>
      </c>
      <c r="I9" s="71">
        <f t="shared" si="2"/>
        <v>1465.1006924366825</v>
      </c>
      <c r="J9" s="70" t="s">
        <v>79</v>
      </c>
      <c r="K9" s="71" t="s">
        <v>79</v>
      </c>
      <c r="L9" s="72">
        <f>800/I10+(0.14*(1+4/B10^0.3))</f>
        <v>1.2640208336096581</v>
      </c>
      <c r="N9" s="46" t="s">
        <v>89</v>
      </c>
      <c r="O9" s="44">
        <f>O8*O4</f>
        <v>6.3131313131313135E-2</v>
      </c>
    </row>
    <row r="10" spans="1:15" ht="15.75" thickBot="1" x14ac:dyDescent="0.3">
      <c r="A10" s="15" t="s">
        <v>90</v>
      </c>
      <c r="B10" s="16">
        <v>0.9</v>
      </c>
      <c r="C10" s="70">
        <f t="shared" si="0"/>
        <v>2.2859999999999998E-2</v>
      </c>
      <c r="D10" s="16">
        <v>1</v>
      </c>
      <c r="E10" s="16" t="s">
        <v>79</v>
      </c>
      <c r="F10" s="70" t="s">
        <v>79</v>
      </c>
      <c r="G10" s="16" t="s">
        <v>77</v>
      </c>
      <c r="H10" s="71">
        <f t="shared" si="1"/>
        <v>0.15381634566264385</v>
      </c>
      <c r="I10" s="71">
        <f t="shared" si="2"/>
        <v>1465.1006924366825</v>
      </c>
      <c r="J10" s="70" t="s">
        <v>79</v>
      </c>
      <c r="K10" s="71" t="s">
        <v>79</v>
      </c>
      <c r="L10" s="72">
        <f>300/I11+(0.017*(1+3.5/B11^0.3))</f>
        <v>0.28317480649067917</v>
      </c>
    </row>
    <row r="11" spans="1:15" ht="15.75" thickBot="1" x14ac:dyDescent="0.3">
      <c r="A11" s="15" t="s">
        <v>91</v>
      </c>
      <c r="B11" s="16">
        <v>0.9</v>
      </c>
      <c r="C11" s="70">
        <f t="shared" si="0"/>
        <v>2.2859999999999998E-2</v>
      </c>
      <c r="D11" s="16">
        <v>1</v>
      </c>
      <c r="E11" s="16">
        <v>1</v>
      </c>
      <c r="F11" s="70">
        <f>E11*$O$23</f>
        <v>0.30480000000000002</v>
      </c>
      <c r="G11" s="16" t="s">
        <v>77</v>
      </c>
      <c r="H11" s="71">
        <f t="shared" si="1"/>
        <v>0.15381634566264385</v>
      </c>
      <c r="I11" s="71">
        <f t="shared" si="2"/>
        <v>1465.1006924366825</v>
      </c>
      <c r="J11" s="70">
        <f t="shared" si="5"/>
        <v>8.7489063867016631E-5</v>
      </c>
      <c r="K11" s="71">
        <f t="shared" si="3"/>
        <v>1.0920751100997432E-2</v>
      </c>
      <c r="L11" s="72">
        <f t="shared" si="4"/>
        <v>0.58244005871986304</v>
      </c>
      <c r="N11" s="74" t="s">
        <v>92</v>
      </c>
      <c r="O11" s="75"/>
    </row>
    <row r="12" spans="1:15" x14ac:dyDescent="0.25">
      <c r="A12" s="15" t="s">
        <v>87</v>
      </c>
      <c r="B12" s="16">
        <v>0.9</v>
      </c>
      <c r="C12" s="70">
        <f t="shared" si="0"/>
        <v>2.2859999999999998E-2</v>
      </c>
      <c r="D12" s="16">
        <v>1</v>
      </c>
      <c r="E12" s="16">
        <v>1</v>
      </c>
      <c r="F12" s="70">
        <f>E12*$O$23</f>
        <v>0.30480000000000002</v>
      </c>
      <c r="G12" s="16" t="s">
        <v>77</v>
      </c>
      <c r="H12" s="71">
        <f t="shared" si="1"/>
        <v>0.15381634566264385</v>
      </c>
      <c r="I12" s="71">
        <f t="shared" si="2"/>
        <v>1465.1006924366825</v>
      </c>
      <c r="J12" s="70">
        <f t="shared" si="5"/>
        <v>8.7489063867016631E-5</v>
      </c>
      <c r="K12" s="71">
        <f t="shared" si="3"/>
        <v>1.0920751100997432E-2</v>
      </c>
      <c r="L12" s="72">
        <f t="shared" si="4"/>
        <v>0.58244005871986304</v>
      </c>
      <c r="N12" s="13" t="s">
        <v>15</v>
      </c>
      <c r="O12" s="14">
        <v>8.3000000000000004E-2</v>
      </c>
    </row>
    <row r="13" spans="1:15" x14ac:dyDescent="0.25">
      <c r="A13" s="15" t="s">
        <v>81</v>
      </c>
      <c r="B13" s="16">
        <v>0.9</v>
      </c>
      <c r="C13" s="70">
        <f t="shared" si="0"/>
        <v>2.2859999999999998E-2</v>
      </c>
      <c r="D13" s="16">
        <v>1</v>
      </c>
      <c r="E13" s="16" t="s">
        <v>79</v>
      </c>
      <c r="F13" s="70" t="s">
        <v>79</v>
      </c>
      <c r="G13" s="16" t="s">
        <v>77</v>
      </c>
      <c r="H13" s="71">
        <f t="shared" si="1"/>
        <v>0.15381634566264385</v>
      </c>
      <c r="I13" s="71">
        <f t="shared" si="2"/>
        <v>1465.1006924366825</v>
      </c>
      <c r="J13" s="70" t="s">
        <v>79</v>
      </c>
      <c r="K13" s="71" t="s">
        <v>79</v>
      </c>
      <c r="L13" s="72">
        <f>800/I14+(0.14*(1+4/B14^0.3))</f>
        <v>1.2640208336096581</v>
      </c>
      <c r="N13" s="19" t="s">
        <v>17</v>
      </c>
      <c r="O13" s="20">
        <v>14.5</v>
      </c>
    </row>
    <row r="14" spans="1:15" x14ac:dyDescent="0.25">
      <c r="A14" s="15" t="s">
        <v>93</v>
      </c>
      <c r="B14" s="16">
        <v>0.9</v>
      </c>
      <c r="C14" s="70">
        <f t="shared" si="0"/>
        <v>2.2859999999999998E-2</v>
      </c>
      <c r="D14" s="16">
        <v>1</v>
      </c>
      <c r="E14" s="16">
        <v>1</v>
      </c>
      <c r="F14" s="70">
        <f>E14*$O$23</f>
        <v>0.30480000000000002</v>
      </c>
      <c r="G14" s="16" t="s">
        <v>77</v>
      </c>
      <c r="H14" s="71">
        <f t="shared" si="1"/>
        <v>0.15381634566264385</v>
      </c>
      <c r="I14" s="71">
        <f t="shared" si="2"/>
        <v>1465.1006924366825</v>
      </c>
      <c r="J14" s="70">
        <f t="shared" si="5"/>
        <v>8.7489063867016631E-5</v>
      </c>
      <c r="K14" s="71">
        <f t="shared" si="3"/>
        <v>1.0920751100997432E-2</v>
      </c>
      <c r="L14" s="72">
        <f t="shared" si="4"/>
        <v>0.58244005871986304</v>
      </c>
      <c r="N14" s="19" t="s">
        <v>36</v>
      </c>
      <c r="O14" s="20">
        <v>62</v>
      </c>
    </row>
    <row r="15" spans="1:15" x14ac:dyDescent="0.25">
      <c r="A15" s="15" t="s">
        <v>87</v>
      </c>
      <c r="B15" s="16">
        <v>0.9</v>
      </c>
      <c r="C15" s="70">
        <f t="shared" si="0"/>
        <v>2.2859999999999998E-2</v>
      </c>
      <c r="D15" s="16">
        <v>1</v>
      </c>
      <c r="E15" s="16">
        <v>1</v>
      </c>
      <c r="F15" s="70">
        <f>E15*$O$23</f>
        <v>0.30480000000000002</v>
      </c>
      <c r="G15" s="16" t="s">
        <v>77</v>
      </c>
      <c r="H15" s="71">
        <f t="shared" si="1"/>
        <v>0.15381634566264385</v>
      </c>
      <c r="I15" s="71">
        <f t="shared" si="2"/>
        <v>1465.1006924366825</v>
      </c>
      <c r="J15" s="70">
        <f t="shared" si="5"/>
        <v>8.7489063867016631E-5</v>
      </c>
      <c r="K15" s="71">
        <f t="shared" si="3"/>
        <v>1.0920751100997432E-2</v>
      </c>
      <c r="L15" s="72">
        <f t="shared" si="4"/>
        <v>0.58244005871986304</v>
      </c>
      <c r="N15" s="19" t="s">
        <v>94</v>
      </c>
      <c r="O15" s="20">
        <f>O14/O16*O18</f>
        <v>0.23484848484848486</v>
      </c>
    </row>
    <row r="16" spans="1:15" x14ac:dyDescent="0.25">
      <c r="A16" s="15" t="s">
        <v>81</v>
      </c>
      <c r="B16" s="16">
        <v>0.9</v>
      </c>
      <c r="C16" s="70">
        <f t="shared" si="0"/>
        <v>2.2859999999999998E-2</v>
      </c>
      <c r="D16" s="16">
        <v>1</v>
      </c>
      <c r="E16" s="16" t="s">
        <v>79</v>
      </c>
      <c r="F16" s="70" t="s">
        <v>79</v>
      </c>
      <c r="G16" s="16" t="s">
        <v>77</v>
      </c>
      <c r="H16" s="71">
        <f t="shared" si="1"/>
        <v>0.15381634566264385</v>
      </c>
      <c r="I16" s="71">
        <f t="shared" si="2"/>
        <v>1465.1006924366825</v>
      </c>
      <c r="J16" s="70" t="s">
        <v>79</v>
      </c>
      <c r="K16" s="71" t="s">
        <v>79</v>
      </c>
      <c r="L16" s="72">
        <f>800/I17+(0.14*(1+4/B17^0.3))</f>
        <v>1.2640208336096581</v>
      </c>
      <c r="N16" s="19" t="s">
        <v>19</v>
      </c>
      <c r="O16" s="20">
        <v>0.26400000000000001</v>
      </c>
    </row>
    <row r="17" spans="1:15" x14ac:dyDescent="0.25">
      <c r="A17" s="15" t="s">
        <v>87</v>
      </c>
      <c r="B17" s="16">
        <v>0.9</v>
      </c>
      <c r="C17" s="70">
        <f t="shared" si="0"/>
        <v>2.2859999999999998E-2</v>
      </c>
      <c r="D17" s="16">
        <v>1</v>
      </c>
      <c r="E17" s="16">
        <v>1</v>
      </c>
      <c r="F17" s="70">
        <f>E17*$O$23</f>
        <v>0.30480000000000002</v>
      </c>
      <c r="G17" s="16" t="s">
        <v>77</v>
      </c>
      <c r="H17" s="71">
        <f t="shared" si="1"/>
        <v>0.15381634566264385</v>
      </c>
      <c r="I17" s="71">
        <f t="shared" si="2"/>
        <v>1465.1006924366825</v>
      </c>
      <c r="J17" s="70">
        <f t="shared" si="5"/>
        <v>8.7489063867016631E-5</v>
      </c>
      <c r="K17" s="71">
        <f t="shared" si="3"/>
        <v>1.0920751100997432E-2</v>
      </c>
      <c r="L17" s="72">
        <f t="shared" si="4"/>
        <v>0.58244005871986304</v>
      </c>
      <c r="N17" s="19" t="s">
        <v>21</v>
      </c>
      <c r="O17" s="20">
        <f>O12*O13*O16</f>
        <v>0.31772400000000001</v>
      </c>
    </row>
    <row r="18" spans="1:15" x14ac:dyDescent="0.25">
      <c r="A18" s="15" t="s">
        <v>81</v>
      </c>
      <c r="B18" s="16">
        <v>0.9</v>
      </c>
      <c r="C18" s="70">
        <f t="shared" si="0"/>
        <v>2.2859999999999998E-2</v>
      </c>
      <c r="D18" s="16">
        <v>1</v>
      </c>
      <c r="E18" s="76" t="s">
        <v>79</v>
      </c>
      <c r="F18" s="70" t="s">
        <v>79</v>
      </c>
      <c r="G18" s="16" t="s">
        <v>77</v>
      </c>
      <c r="H18" s="71">
        <f>$O$8/(PI()*C18^2/4)</f>
        <v>0.15381634566264385</v>
      </c>
      <c r="I18" s="71">
        <f>H18*C18/$O$6</f>
        <v>1465.1006924366825</v>
      </c>
      <c r="J18" s="70" t="s">
        <v>79</v>
      </c>
      <c r="K18" s="71" t="s">
        <v>79</v>
      </c>
      <c r="L18" s="72">
        <f>800/I19+(0.14*(1+4/B19^0.3))</f>
        <v>1.2640208336096581</v>
      </c>
      <c r="N18" s="19" t="s">
        <v>95</v>
      </c>
      <c r="O18" s="73">
        <v>1E-3</v>
      </c>
    </row>
    <row r="19" spans="1:15" ht="15.75" thickBot="1" x14ac:dyDescent="0.3">
      <c r="A19" s="46" t="s">
        <v>96</v>
      </c>
      <c r="B19" s="77">
        <v>0.9</v>
      </c>
      <c r="C19" s="78">
        <f t="shared" si="0"/>
        <v>2.2859999999999998E-2</v>
      </c>
      <c r="D19" s="77">
        <v>1</v>
      </c>
      <c r="E19" s="79">
        <v>0.5</v>
      </c>
      <c r="F19" s="78">
        <f>E19*$O$23</f>
        <v>0.15240000000000001</v>
      </c>
      <c r="G19" s="77" t="s">
        <v>77</v>
      </c>
      <c r="H19" s="80">
        <f>$O$8/(PI()*C19^2/4)</f>
        <v>0.15381634566264385</v>
      </c>
      <c r="I19" s="80">
        <f t="shared" si="2"/>
        <v>1465.1006924366825</v>
      </c>
      <c r="J19" s="78">
        <f t="shared" si="5"/>
        <v>8.7489063867016631E-5</v>
      </c>
      <c r="K19" s="80">
        <f t="shared" si="3"/>
        <v>1.0920751100997432E-2</v>
      </c>
      <c r="L19" s="81">
        <f t="shared" si="4"/>
        <v>0.29122002935993152</v>
      </c>
      <c r="N19" s="19" t="s">
        <v>43</v>
      </c>
      <c r="O19" s="20">
        <v>44.01</v>
      </c>
    </row>
    <row r="20" spans="1:15" ht="15.75" thickBot="1" x14ac:dyDescent="0.3">
      <c r="E20" s="82"/>
      <c r="N20" s="19" t="s">
        <v>97</v>
      </c>
      <c r="O20" s="20">
        <v>60</v>
      </c>
    </row>
    <row r="21" spans="1:15" ht="15.75" thickBot="1" x14ac:dyDescent="0.3">
      <c r="A21" s="63" t="s">
        <v>98</v>
      </c>
      <c r="B21" s="64"/>
      <c r="C21" s="64"/>
      <c r="D21" s="64"/>
      <c r="E21" s="64"/>
      <c r="F21" s="64"/>
      <c r="G21" s="64"/>
      <c r="H21" s="64"/>
      <c r="I21" s="65"/>
      <c r="N21" s="19" t="s">
        <v>99</v>
      </c>
      <c r="O21" s="20">
        <v>9.8000000000000007</v>
      </c>
    </row>
    <row r="22" spans="1:15" ht="15.75" thickBot="1" x14ac:dyDescent="0.3">
      <c r="A22" s="37" t="s">
        <v>1</v>
      </c>
      <c r="B22" s="38" t="s">
        <v>100</v>
      </c>
      <c r="C22" s="38" t="s">
        <v>101</v>
      </c>
      <c r="D22" s="38" t="s">
        <v>102</v>
      </c>
      <c r="E22" s="38" t="s">
        <v>103</v>
      </c>
      <c r="F22" s="38" t="s">
        <v>104</v>
      </c>
      <c r="G22" s="38" t="s">
        <v>105</v>
      </c>
      <c r="H22" s="38" t="s">
        <v>106</v>
      </c>
      <c r="I22" s="39" t="s">
        <v>107</v>
      </c>
      <c r="N22" s="19" t="s">
        <v>108</v>
      </c>
      <c r="O22" s="20">
        <v>2.5399999999999999E-2</v>
      </c>
    </row>
    <row r="23" spans="1:15" x14ac:dyDescent="0.25">
      <c r="A23" s="8" t="s">
        <v>109</v>
      </c>
      <c r="B23" s="40">
        <v>30</v>
      </c>
      <c r="C23" s="66">
        <f>B23*$O$25</f>
        <v>206844</v>
      </c>
      <c r="D23" s="66">
        <f>C23/$O$4/$O$21</f>
        <v>21.106530612244896</v>
      </c>
      <c r="E23" s="40">
        <v>5</v>
      </c>
      <c r="F23" s="66">
        <f>E23*O23</f>
        <v>1.524</v>
      </c>
      <c r="G23" s="67" cm="1">
        <f t="array" ref="G23">SUM(L3:L19/(C3:C19)^4)</f>
        <v>42279094.794490069</v>
      </c>
      <c r="H23" s="67">
        <f>G23*8*O8^2/(O21*PI()^2)</f>
        <v>1.3937327068563441E-2</v>
      </c>
      <c r="I23" s="83">
        <f>H23+F23+D23</f>
        <v>22.644467939313458</v>
      </c>
      <c r="N23" s="19" t="s">
        <v>110</v>
      </c>
      <c r="O23" s="20">
        <v>0.30480000000000002</v>
      </c>
    </row>
    <row r="24" spans="1:15" x14ac:dyDescent="0.25">
      <c r="A24" s="15" t="s">
        <v>111</v>
      </c>
      <c r="B24" s="16">
        <v>35</v>
      </c>
      <c r="C24" s="70">
        <f t="shared" ref="C24:C27" si="6">B24*$O$25</f>
        <v>241318</v>
      </c>
      <c r="D24" s="70">
        <f>C24/$O$4/$O$21</f>
        <v>24.624285714285715</v>
      </c>
      <c r="E24" s="45"/>
      <c r="F24" s="45"/>
      <c r="G24" s="45"/>
      <c r="H24" s="45"/>
      <c r="I24" s="84">
        <f>H24+F24+D24</f>
        <v>24.624285714285715</v>
      </c>
      <c r="N24" s="85" t="s">
        <v>112</v>
      </c>
      <c r="O24" s="86">
        <f>O14/O16*O18*O4</f>
        <v>234.84848484848487</v>
      </c>
    </row>
    <row r="25" spans="1:15" ht="15.75" thickBot="1" x14ac:dyDescent="0.3">
      <c r="A25" s="15" t="s">
        <v>113</v>
      </c>
      <c r="B25" s="16">
        <v>35</v>
      </c>
      <c r="C25" s="70">
        <f t="shared" si="6"/>
        <v>241318</v>
      </c>
      <c r="D25" s="70">
        <f>C25/$O$4/$O$21</f>
        <v>24.624285714285715</v>
      </c>
      <c r="E25" s="45"/>
      <c r="F25" s="45"/>
      <c r="G25" s="45"/>
      <c r="H25" s="45"/>
      <c r="I25" s="84">
        <f t="shared" ref="I25:I27" si="7">H25+F25+D25</f>
        <v>24.624285714285715</v>
      </c>
      <c r="N25" s="43" t="s">
        <v>114</v>
      </c>
      <c r="O25" s="44">
        <v>6894.8</v>
      </c>
    </row>
    <row r="26" spans="1:15" ht="15.75" thickBot="1" x14ac:dyDescent="0.3">
      <c r="A26" s="15" t="s">
        <v>115</v>
      </c>
      <c r="B26" s="16">
        <v>20</v>
      </c>
      <c r="C26" s="70">
        <f t="shared" si="6"/>
        <v>137896</v>
      </c>
      <c r="D26" s="70">
        <f>C26/$O$4/$O$21</f>
        <v>14.071020408163262</v>
      </c>
      <c r="E26" s="45"/>
      <c r="F26" s="45"/>
      <c r="G26" s="45"/>
      <c r="H26" s="45"/>
      <c r="I26" s="84">
        <f t="shared" si="7"/>
        <v>14.071020408163262</v>
      </c>
    </row>
    <row r="27" spans="1:15" ht="15.75" thickBot="1" x14ac:dyDescent="0.3">
      <c r="A27" s="46" t="s">
        <v>116</v>
      </c>
      <c r="B27" s="77">
        <v>2</v>
      </c>
      <c r="C27" s="78">
        <f t="shared" si="6"/>
        <v>13789.6</v>
      </c>
      <c r="D27" s="78">
        <f>C27/$O$4/$O$21</f>
        <v>1.4071020408163264</v>
      </c>
      <c r="E27" s="47"/>
      <c r="F27" s="47"/>
      <c r="G27" s="47"/>
      <c r="H27" s="47"/>
      <c r="I27" s="87">
        <f t="shared" si="7"/>
        <v>1.4071020408163264</v>
      </c>
      <c r="N27" s="50" t="s">
        <v>46</v>
      </c>
    </row>
    <row r="28" spans="1:15" ht="15.75" thickBot="1" x14ac:dyDescent="0.3">
      <c r="N28" s="51" t="s">
        <v>47</v>
      </c>
    </row>
    <row r="29" spans="1:15" ht="15.75" thickBot="1" x14ac:dyDescent="0.3">
      <c r="A29" s="63" t="s">
        <v>117</v>
      </c>
      <c r="B29" s="64"/>
      <c r="C29" s="64"/>
      <c r="D29" s="64"/>
      <c r="E29" s="64"/>
      <c r="F29" s="64"/>
      <c r="G29" s="65"/>
      <c r="N29" s="55" t="s">
        <v>49</v>
      </c>
    </row>
    <row r="30" spans="1:15" ht="15.75" thickBot="1" x14ac:dyDescent="0.3">
      <c r="A30" s="88" t="s">
        <v>118</v>
      </c>
      <c r="B30" s="89" t="s">
        <v>119</v>
      </c>
      <c r="C30" s="89" t="s">
        <v>120</v>
      </c>
      <c r="D30" s="89" t="s">
        <v>121</v>
      </c>
      <c r="E30" s="89" t="s">
        <v>122</v>
      </c>
      <c r="F30" s="89" t="s">
        <v>123</v>
      </c>
      <c r="G30" s="90" t="s">
        <v>124</v>
      </c>
      <c r="N30" s="56" t="s">
        <v>57</v>
      </c>
    </row>
    <row r="31" spans="1:15" x14ac:dyDescent="0.25">
      <c r="A31" s="13" t="s">
        <v>32</v>
      </c>
      <c r="B31" s="11">
        <v>0.7</v>
      </c>
      <c r="C31" s="10">
        <f>SUM(I23:I27)*O21*O4*O8/B31</f>
        <v>77.221986454299412</v>
      </c>
      <c r="D31" s="11">
        <f>O9</f>
        <v>6.3131313131313135E-2</v>
      </c>
      <c r="E31" s="91">
        <f>C31/D31</f>
        <v>1223.1962654361025</v>
      </c>
      <c r="F31" s="92">
        <f>C31/1000/D31/3600</f>
        <v>3.3977674039891738E-4</v>
      </c>
      <c r="G31" s="93">
        <f>F31*O24</f>
        <v>7.979605266944273E-2</v>
      </c>
    </row>
    <row r="32" spans="1:15" ht="15.75" thickBot="1" x14ac:dyDescent="0.3">
      <c r="A32" s="43" t="s">
        <v>125</v>
      </c>
      <c r="B32" s="79">
        <v>0.7</v>
      </c>
      <c r="C32" s="79">
        <f>240*10/B32</f>
        <v>3428.5714285714289</v>
      </c>
      <c r="D32" s="79">
        <f>O9</f>
        <v>6.3131313131313135E-2</v>
      </c>
      <c r="E32" s="94">
        <f>C32/D32</f>
        <v>54308.571428571428</v>
      </c>
      <c r="F32" s="80">
        <f>C32/1000/D32/3600</f>
        <v>1.5085714285714286E-2</v>
      </c>
      <c r="G32" s="87">
        <f>F32*O24</f>
        <v>3.5428571428571431</v>
      </c>
    </row>
    <row r="34" spans="7:7" x14ac:dyDescent="0.25">
      <c r="G34" s="95"/>
    </row>
  </sheetData>
  <mergeCells count="5">
    <mergeCell ref="A1:L1"/>
    <mergeCell ref="N2:O2"/>
    <mergeCell ref="N11:O11"/>
    <mergeCell ref="A21:I21"/>
    <mergeCell ref="A29:G2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87024-13E6-4DCC-9FB1-BF7A55A2F5BB}">
  <dimension ref="A1:O34"/>
  <sheetViews>
    <sheetView workbookViewId="0">
      <selection activeCell="G34" sqref="G34"/>
    </sheetView>
  </sheetViews>
  <sheetFormatPr defaultRowHeight="15" x14ac:dyDescent="0.25"/>
  <cols>
    <col min="1" max="1" width="30.28515625" bestFit="1" customWidth="1"/>
    <col min="2" max="2" width="22.85546875" bestFit="1" customWidth="1"/>
    <col min="3" max="3" width="22.42578125" bestFit="1" customWidth="1"/>
    <col min="4" max="4" width="26.28515625" bestFit="1" customWidth="1"/>
    <col min="5" max="5" width="29" bestFit="1" customWidth="1"/>
    <col min="6" max="6" width="26.28515625" bestFit="1" customWidth="1"/>
    <col min="7" max="7" width="31.42578125" bestFit="1" customWidth="1"/>
    <col min="8" max="8" width="27.7109375" bestFit="1" customWidth="1"/>
    <col min="9" max="9" width="17.7109375" bestFit="1" customWidth="1"/>
    <col min="10" max="10" width="23.85546875" bestFit="1" customWidth="1"/>
    <col min="11" max="11" width="14.28515625" bestFit="1" customWidth="1"/>
    <col min="12" max="12" width="15.28515625" bestFit="1" customWidth="1"/>
    <col min="14" max="14" width="24.42578125" bestFit="1" customWidth="1"/>
  </cols>
  <sheetData>
    <row r="1" spans="1:15" ht="15.75" thickBot="1" x14ac:dyDescent="0.3">
      <c r="A1" s="63" t="s">
        <v>62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5"/>
    </row>
    <row r="2" spans="1:15" ht="15.75" thickBot="1" x14ac:dyDescent="0.3">
      <c r="A2" s="37" t="s">
        <v>63</v>
      </c>
      <c r="B2" s="38" t="s">
        <v>64</v>
      </c>
      <c r="C2" s="38" t="s">
        <v>65</v>
      </c>
      <c r="D2" s="38" t="s">
        <v>66</v>
      </c>
      <c r="E2" s="38" t="s">
        <v>67</v>
      </c>
      <c r="F2" s="38" t="s">
        <v>68</v>
      </c>
      <c r="G2" s="38" t="s">
        <v>69</v>
      </c>
      <c r="H2" s="38" t="s">
        <v>70</v>
      </c>
      <c r="I2" s="38" t="s">
        <v>71</v>
      </c>
      <c r="J2" s="38" t="s">
        <v>72</v>
      </c>
      <c r="K2" s="38" t="s">
        <v>73</v>
      </c>
      <c r="L2" s="39" t="s">
        <v>74</v>
      </c>
      <c r="N2" s="1" t="s">
        <v>75</v>
      </c>
      <c r="O2" s="3"/>
    </row>
    <row r="3" spans="1:15" x14ac:dyDescent="0.25">
      <c r="A3" s="8" t="s">
        <v>76</v>
      </c>
      <c r="B3" s="40">
        <v>0.9</v>
      </c>
      <c r="C3" s="66">
        <f>B3*$O$22</f>
        <v>2.2859999999999998E-2</v>
      </c>
      <c r="D3" s="40">
        <v>1</v>
      </c>
      <c r="E3" s="40">
        <v>1</v>
      </c>
      <c r="F3" s="66">
        <f>E3*$O$23</f>
        <v>0.30480000000000002</v>
      </c>
      <c r="G3" s="40" t="s">
        <v>77</v>
      </c>
      <c r="H3" s="67">
        <f>$O$8/(PI()*C3^2/4)</f>
        <v>0.15381634566264385</v>
      </c>
      <c r="I3" s="67">
        <f>H3*C3/$O$6</f>
        <v>1465.1006924366825</v>
      </c>
      <c r="J3" s="66">
        <f>0.002/1000/C3</f>
        <v>8.7489063867016631E-5</v>
      </c>
      <c r="K3" s="67">
        <f>16/I3</f>
        <v>1.0920751100997432E-2</v>
      </c>
      <c r="L3" s="68">
        <f>K3*4*F3/C3</f>
        <v>0.58244005871986304</v>
      </c>
      <c r="N3" s="69" t="s">
        <v>3</v>
      </c>
      <c r="O3" s="14">
        <v>298</v>
      </c>
    </row>
    <row r="4" spans="1:15" x14ac:dyDescent="0.25">
      <c r="A4" s="15" t="s">
        <v>78</v>
      </c>
      <c r="B4" s="16">
        <v>0.9</v>
      </c>
      <c r="C4" s="70">
        <f t="shared" ref="C4:C19" si="0">B4*$O$22</f>
        <v>2.2859999999999998E-2</v>
      </c>
      <c r="D4" s="16">
        <v>1</v>
      </c>
      <c r="E4" s="16" t="s">
        <v>79</v>
      </c>
      <c r="F4" s="70" t="s">
        <v>79</v>
      </c>
      <c r="G4" s="16" t="s">
        <v>77</v>
      </c>
      <c r="H4" s="71">
        <f t="shared" ref="H4:H17" si="1">$O$8/(PI()*C4^2/4)</f>
        <v>0.15381634566264385</v>
      </c>
      <c r="I4" s="71">
        <f t="shared" ref="I4:I19" si="2">H4*C4/$O$6</f>
        <v>1465.1006924366825</v>
      </c>
      <c r="J4" s="70" t="s">
        <v>79</v>
      </c>
      <c r="K4" s="71" t="s">
        <v>79</v>
      </c>
      <c r="L4" s="72">
        <f>300/I5+(0.017*(1+3.5/B5^0.3))</f>
        <v>0.28317480649067917</v>
      </c>
      <c r="N4" s="15" t="s">
        <v>80</v>
      </c>
      <c r="O4" s="20">
        <v>1000</v>
      </c>
    </row>
    <row r="5" spans="1:15" x14ac:dyDescent="0.25">
      <c r="A5" s="15" t="s">
        <v>81</v>
      </c>
      <c r="B5" s="16">
        <v>0.9</v>
      </c>
      <c r="C5" s="70">
        <f t="shared" si="0"/>
        <v>2.2859999999999998E-2</v>
      </c>
      <c r="D5" s="16">
        <v>1</v>
      </c>
      <c r="E5" s="16" t="s">
        <v>79</v>
      </c>
      <c r="F5" s="70" t="s">
        <v>79</v>
      </c>
      <c r="G5" s="16" t="s">
        <v>77</v>
      </c>
      <c r="H5" s="71">
        <f t="shared" si="1"/>
        <v>0.15381634566264385</v>
      </c>
      <c r="I5" s="71">
        <f t="shared" si="2"/>
        <v>1465.1006924366825</v>
      </c>
      <c r="J5" s="70" t="s">
        <v>79</v>
      </c>
      <c r="K5" s="71" t="s">
        <v>79</v>
      </c>
      <c r="L5" s="72">
        <f>800/I6+(0.14*(1+4/B6^0.3))</f>
        <v>1.2640208336096581</v>
      </c>
      <c r="N5" s="15" t="s">
        <v>82</v>
      </c>
      <c r="O5" s="73">
        <f>2.4*10^-3</f>
        <v>2.3999999999999998E-3</v>
      </c>
    </row>
    <row r="6" spans="1:15" x14ac:dyDescent="0.25">
      <c r="A6" s="15" t="s">
        <v>83</v>
      </c>
      <c r="B6" s="16">
        <v>0.9</v>
      </c>
      <c r="C6" s="70">
        <f t="shared" si="0"/>
        <v>2.2859999999999998E-2</v>
      </c>
      <c r="D6" s="16">
        <v>1</v>
      </c>
      <c r="E6" s="16">
        <v>0.5</v>
      </c>
      <c r="F6" s="70">
        <f>E6*$O$23</f>
        <v>0.15240000000000001</v>
      </c>
      <c r="G6" s="16" t="s">
        <v>77</v>
      </c>
      <c r="H6" s="71">
        <f t="shared" si="1"/>
        <v>0.15381634566264385</v>
      </c>
      <c r="I6" s="71">
        <f t="shared" si="2"/>
        <v>1465.1006924366825</v>
      </c>
      <c r="J6" s="70">
        <f>0.002/1000/C6</f>
        <v>8.7489063867016631E-5</v>
      </c>
      <c r="K6" s="71">
        <f t="shared" ref="K6:K19" si="3">16/I6</f>
        <v>1.0920751100997432E-2</v>
      </c>
      <c r="L6" s="72">
        <f t="shared" ref="L6:L19" si="4">K6*4*F6/C6</f>
        <v>0.29122002935993152</v>
      </c>
      <c r="N6" s="15" t="s">
        <v>84</v>
      </c>
      <c r="O6" s="73">
        <f>O5/O4</f>
        <v>2.3999999999999999E-6</v>
      </c>
    </row>
    <row r="7" spans="1:15" x14ac:dyDescent="0.25">
      <c r="A7" s="15" t="s">
        <v>85</v>
      </c>
      <c r="B7" s="16">
        <v>0.9</v>
      </c>
      <c r="C7" s="70">
        <f>B7*$O$22</f>
        <v>2.2859999999999998E-2</v>
      </c>
      <c r="D7" s="16">
        <v>1</v>
      </c>
      <c r="E7" s="16">
        <v>0.5</v>
      </c>
      <c r="F7" s="70">
        <f>E7*$O$23</f>
        <v>0.15240000000000001</v>
      </c>
      <c r="G7" s="16" t="s">
        <v>77</v>
      </c>
      <c r="H7" s="71">
        <f t="shared" si="1"/>
        <v>0.15381634566264385</v>
      </c>
      <c r="I7" s="71">
        <f t="shared" si="2"/>
        <v>1465.1006924366825</v>
      </c>
      <c r="J7" s="70">
        <f t="shared" ref="J7:J19" si="5">0.002/1000/C7</f>
        <v>8.7489063867016631E-5</v>
      </c>
      <c r="K7" s="71">
        <f t="shared" si="3"/>
        <v>1.0920751100997432E-2</v>
      </c>
      <c r="L7" s="72">
        <f t="shared" si="4"/>
        <v>0.29122002935993152</v>
      </c>
      <c r="N7" s="15" t="s">
        <v>86</v>
      </c>
      <c r="O7" s="20">
        <v>1</v>
      </c>
    </row>
    <row r="8" spans="1:15" x14ac:dyDescent="0.25">
      <c r="A8" s="15" t="s">
        <v>87</v>
      </c>
      <c r="B8" s="16">
        <v>0.9</v>
      </c>
      <c r="C8" s="70">
        <f t="shared" si="0"/>
        <v>2.2859999999999998E-2</v>
      </c>
      <c r="D8" s="16">
        <v>1</v>
      </c>
      <c r="E8" s="16">
        <v>0.5</v>
      </c>
      <c r="F8" s="70">
        <f>E8*$O$23</f>
        <v>0.15240000000000001</v>
      </c>
      <c r="G8" s="16" t="s">
        <v>77</v>
      </c>
      <c r="H8" s="71">
        <f t="shared" si="1"/>
        <v>0.15381634566264385</v>
      </c>
      <c r="I8" s="71">
        <f t="shared" si="2"/>
        <v>1465.1006924366825</v>
      </c>
      <c r="J8" s="70">
        <f t="shared" si="5"/>
        <v>8.7489063867016631E-5</v>
      </c>
      <c r="K8" s="71">
        <f t="shared" si="3"/>
        <v>1.0920751100997432E-2</v>
      </c>
      <c r="L8" s="72">
        <f t="shared" si="4"/>
        <v>0.29122002935993152</v>
      </c>
      <c r="N8" s="15" t="s">
        <v>88</v>
      </c>
      <c r="O8" s="73">
        <f>O7/O16*O18/O20</f>
        <v>6.3131313131313131E-5</v>
      </c>
    </row>
    <row r="9" spans="1:15" ht="15.75" thickBot="1" x14ac:dyDescent="0.3">
      <c r="A9" s="15" t="s">
        <v>81</v>
      </c>
      <c r="B9" s="16">
        <v>0.9</v>
      </c>
      <c r="C9" s="70">
        <f t="shared" si="0"/>
        <v>2.2859999999999998E-2</v>
      </c>
      <c r="D9" s="16">
        <v>1</v>
      </c>
      <c r="E9" s="16" t="s">
        <v>79</v>
      </c>
      <c r="F9" s="70" t="s">
        <v>79</v>
      </c>
      <c r="G9" s="16" t="s">
        <v>77</v>
      </c>
      <c r="H9" s="71">
        <f t="shared" si="1"/>
        <v>0.15381634566264385</v>
      </c>
      <c r="I9" s="71">
        <f t="shared" si="2"/>
        <v>1465.1006924366825</v>
      </c>
      <c r="J9" s="70" t="s">
        <v>79</v>
      </c>
      <c r="K9" s="71" t="s">
        <v>79</v>
      </c>
      <c r="L9" s="72">
        <f>800/I10+(0.14*(1+4/B10^0.3))</f>
        <v>1.2640208336096581</v>
      </c>
      <c r="N9" s="46" t="s">
        <v>89</v>
      </c>
      <c r="O9" s="44">
        <f>O8*O4</f>
        <v>6.3131313131313135E-2</v>
      </c>
    </row>
    <row r="10" spans="1:15" ht="15.75" thickBot="1" x14ac:dyDescent="0.3">
      <c r="A10" s="15" t="s">
        <v>90</v>
      </c>
      <c r="B10" s="16">
        <v>0.9</v>
      </c>
      <c r="C10" s="70">
        <f t="shared" si="0"/>
        <v>2.2859999999999998E-2</v>
      </c>
      <c r="D10" s="16">
        <v>1</v>
      </c>
      <c r="E10" s="16" t="s">
        <v>79</v>
      </c>
      <c r="F10" s="70" t="s">
        <v>79</v>
      </c>
      <c r="G10" s="16" t="s">
        <v>77</v>
      </c>
      <c r="H10" s="71">
        <f t="shared" si="1"/>
        <v>0.15381634566264385</v>
      </c>
      <c r="I10" s="71">
        <f t="shared" si="2"/>
        <v>1465.1006924366825</v>
      </c>
      <c r="J10" s="70" t="s">
        <v>79</v>
      </c>
      <c r="K10" s="71" t="s">
        <v>79</v>
      </c>
      <c r="L10" s="72">
        <f>300/I11+(0.017*(1+3.5/B11^0.3))</f>
        <v>0.28317480649067917</v>
      </c>
    </row>
    <row r="11" spans="1:15" ht="15.75" thickBot="1" x14ac:dyDescent="0.3">
      <c r="A11" s="15" t="s">
        <v>91</v>
      </c>
      <c r="B11" s="16">
        <v>0.9</v>
      </c>
      <c r="C11" s="70">
        <f t="shared" si="0"/>
        <v>2.2859999999999998E-2</v>
      </c>
      <c r="D11" s="16">
        <v>1</v>
      </c>
      <c r="E11" s="16">
        <v>1</v>
      </c>
      <c r="F11" s="70">
        <f>E11*$O$23</f>
        <v>0.30480000000000002</v>
      </c>
      <c r="G11" s="16" t="s">
        <v>77</v>
      </c>
      <c r="H11" s="71">
        <f t="shared" si="1"/>
        <v>0.15381634566264385</v>
      </c>
      <c r="I11" s="71">
        <f t="shared" si="2"/>
        <v>1465.1006924366825</v>
      </c>
      <c r="J11" s="70">
        <f t="shared" si="5"/>
        <v>8.7489063867016631E-5</v>
      </c>
      <c r="K11" s="71">
        <f t="shared" si="3"/>
        <v>1.0920751100997432E-2</v>
      </c>
      <c r="L11" s="72">
        <f t="shared" si="4"/>
        <v>0.58244005871986304</v>
      </c>
      <c r="N11" s="74" t="s">
        <v>92</v>
      </c>
      <c r="O11" s="75"/>
    </row>
    <row r="12" spans="1:15" x14ac:dyDescent="0.25">
      <c r="A12" s="15" t="s">
        <v>87</v>
      </c>
      <c r="B12" s="16">
        <v>0.9</v>
      </c>
      <c r="C12" s="70">
        <f t="shared" si="0"/>
        <v>2.2859999999999998E-2</v>
      </c>
      <c r="D12" s="16">
        <v>1</v>
      </c>
      <c r="E12" s="16">
        <v>1</v>
      </c>
      <c r="F12" s="70">
        <f>E12*$O$23</f>
        <v>0.30480000000000002</v>
      </c>
      <c r="G12" s="16" t="s">
        <v>77</v>
      </c>
      <c r="H12" s="71">
        <f t="shared" si="1"/>
        <v>0.15381634566264385</v>
      </c>
      <c r="I12" s="71">
        <f t="shared" si="2"/>
        <v>1465.1006924366825</v>
      </c>
      <c r="J12" s="70">
        <f t="shared" si="5"/>
        <v>8.7489063867016631E-5</v>
      </c>
      <c r="K12" s="71">
        <f t="shared" si="3"/>
        <v>1.0920751100997432E-2</v>
      </c>
      <c r="L12" s="72">
        <f t="shared" si="4"/>
        <v>0.58244005871986304</v>
      </c>
      <c r="N12" s="13" t="s">
        <v>15</v>
      </c>
      <c r="O12" s="14">
        <v>8.3000000000000004E-2</v>
      </c>
    </row>
    <row r="13" spans="1:15" x14ac:dyDescent="0.25">
      <c r="A13" s="15" t="s">
        <v>81</v>
      </c>
      <c r="B13" s="16">
        <v>0.9</v>
      </c>
      <c r="C13" s="70">
        <f t="shared" si="0"/>
        <v>2.2859999999999998E-2</v>
      </c>
      <c r="D13" s="16">
        <v>1</v>
      </c>
      <c r="E13" s="16" t="s">
        <v>79</v>
      </c>
      <c r="F13" s="70" t="s">
        <v>79</v>
      </c>
      <c r="G13" s="16" t="s">
        <v>77</v>
      </c>
      <c r="H13" s="71">
        <f t="shared" si="1"/>
        <v>0.15381634566264385</v>
      </c>
      <c r="I13" s="71">
        <f t="shared" si="2"/>
        <v>1465.1006924366825</v>
      </c>
      <c r="J13" s="70" t="s">
        <v>79</v>
      </c>
      <c r="K13" s="71" t="s">
        <v>79</v>
      </c>
      <c r="L13" s="72">
        <f>800/I14+(0.14*(1+4/B14^0.3))</f>
        <v>1.2640208336096581</v>
      </c>
      <c r="N13" s="19" t="s">
        <v>17</v>
      </c>
      <c r="O13" s="20">
        <v>14.5</v>
      </c>
    </row>
    <row r="14" spans="1:15" x14ac:dyDescent="0.25">
      <c r="A14" s="15" t="s">
        <v>93</v>
      </c>
      <c r="B14" s="16">
        <v>0.9</v>
      </c>
      <c r="C14" s="70">
        <f t="shared" si="0"/>
        <v>2.2859999999999998E-2</v>
      </c>
      <c r="D14" s="16">
        <v>1</v>
      </c>
      <c r="E14" s="16">
        <v>1</v>
      </c>
      <c r="F14" s="70">
        <f>E14*$O$23</f>
        <v>0.30480000000000002</v>
      </c>
      <c r="G14" s="16" t="s">
        <v>77</v>
      </c>
      <c r="H14" s="71">
        <f t="shared" si="1"/>
        <v>0.15381634566264385</v>
      </c>
      <c r="I14" s="71">
        <f t="shared" si="2"/>
        <v>1465.1006924366825</v>
      </c>
      <c r="J14" s="70">
        <f t="shared" si="5"/>
        <v>8.7489063867016631E-5</v>
      </c>
      <c r="K14" s="71">
        <f t="shared" si="3"/>
        <v>1.0920751100997432E-2</v>
      </c>
      <c r="L14" s="72">
        <f t="shared" si="4"/>
        <v>0.58244005871986304</v>
      </c>
      <c r="N14" s="19" t="s">
        <v>36</v>
      </c>
      <c r="O14" s="20">
        <v>62</v>
      </c>
    </row>
    <row r="15" spans="1:15" x14ac:dyDescent="0.25">
      <c r="A15" s="15" t="s">
        <v>87</v>
      </c>
      <c r="B15" s="16">
        <v>0.9</v>
      </c>
      <c r="C15" s="70">
        <f t="shared" si="0"/>
        <v>2.2859999999999998E-2</v>
      </c>
      <c r="D15" s="16">
        <v>1</v>
      </c>
      <c r="E15" s="16">
        <v>1</v>
      </c>
      <c r="F15" s="70">
        <f>E15*$O$23</f>
        <v>0.30480000000000002</v>
      </c>
      <c r="G15" s="16" t="s">
        <v>77</v>
      </c>
      <c r="H15" s="71">
        <f t="shared" si="1"/>
        <v>0.15381634566264385</v>
      </c>
      <c r="I15" s="71">
        <f t="shared" si="2"/>
        <v>1465.1006924366825</v>
      </c>
      <c r="J15" s="70">
        <f t="shared" si="5"/>
        <v>8.7489063867016631E-5</v>
      </c>
      <c r="K15" s="71">
        <f t="shared" si="3"/>
        <v>1.0920751100997432E-2</v>
      </c>
      <c r="L15" s="72">
        <f t="shared" si="4"/>
        <v>0.58244005871986304</v>
      </c>
      <c r="N15" s="19" t="s">
        <v>94</v>
      </c>
      <c r="O15" s="20">
        <f>O14/O16*O18</f>
        <v>0.23484848484848486</v>
      </c>
    </row>
    <row r="16" spans="1:15" x14ac:dyDescent="0.25">
      <c r="A16" s="15" t="s">
        <v>81</v>
      </c>
      <c r="B16" s="16">
        <v>0.9</v>
      </c>
      <c r="C16" s="70">
        <f t="shared" si="0"/>
        <v>2.2859999999999998E-2</v>
      </c>
      <c r="D16" s="16">
        <v>1</v>
      </c>
      <c r="E16" s="16" t="s">
        <v>79</v>
      </c>
      <c r="F16" s="70" t="s">
        <v>79</v>
      </c>
      <c r="G16" s="16" t="s">
        <v>77</v>
      </c>
      <c r="H16" s="71">
        <f t="shared" si="1"/>
        <v>0.15381634566264385</v>
      </c>
      <c r="I16" s="71">
        <f t="shared" si="2"/>
        <v>1465.1006924366825</v>
      </c>
      <c r="J16" s="70" t="s">
        <v>79</v>
      </c>
      <c r="K16" s="71" t="s">
        <v>79</v>
      </c>
      <c r="L16" s="72">
        <f>800/I17+(0.14*(1+4/B17^0.3))</f>
        <v>1.2640208336096581</v>
      </c>
      <c r="N16" s="19" t="s">
        <v>19</v>
      </c>
      <c r="O16" s="20">
        <v>0.26400000000000001</v>
      </c>
    </row>
    <row r="17" spans="1:15" x14ac:dyDescent="0.25">
      <c r="A17" s="15" t="s">
        <v>87</v>
      </c>
      <c r="B17" s="16">
        <v>0.9</v>
      </c>
      <c r="C17" s="70">
        <f t="shared" si="0"/>
        <v>2.2859999999999998E-2</v>
      </c>
      <c r="D17" s="16">
        <v>1</v>
      </c>
      <c r="E17" s="16">
        <v>1</v>
      </c>
      <c r="F17" s="70">
        <f>E17*$O$23</f>
        <v>0.30480000000000002</v>
      </c>
      <c r="G17" s="16" t="s">
        <v>77</v>
      </c>
      <c r="H17" s="71">
        <f t="shared" si="1"/>
        <v>0.15381634566264385</v>
      </c>
      <c r="I17" s="71">
        <f t="shared" si="2"/>
        <v>1465.1006924366825</v>
      </c>
      <c r="J17" s="70">
        <f t="shared" si="5"/>
        <v>8.7489063867016631E-5</v>
      </c>
      <c r="K17" s="71">
        <f t="shared" si="3"/>
        <v>1.0920751100997432E-2</v>
      </c>
      <c r="L17" s="72">
        <f t="shared" si="4"/>
        <v>0.58244005871986304</v>
      </c>
      <c r="N17" s="19" t="s">
        <v>21</v>
      </c>
      <c r="O17" s="20">
        <f>O12*O13*O16</f>
        <v>0.31772400000000001</v>
      </c>
    </row>
    <row r="18" spans="1:15" x14ac:dyDescent="0.25">
      <c r="A18" s="15" t="s">
        <v>81</v>
      </c>
      <c r="B18" s="16">
        <v>0.9</v>
      </c>
      <c r="C18" s="70">
        <f t="shared" si="0"/>
        <v>2.2859999999999998E-2</v>
      </c>
      <c r="D18" s="16">
        <v>1</v>
      </c>
      <c r="E18" s="76" t="s">
        <v>79</v>
      </c>
      <c r="F18" s="70" t="s">
        <v>79</v>
      </c>
      <c r="G18" s="16" t="s">
        <v>77</v>
      </c>
      <c r="H18" s="71">
        <f>$O$8/(PI()*C18^2/4)</f>
        <v>0.15381634566264385</v>
      </c>
      <c r="I18" s="71">
        <f>H18*C18/$O$6</f>
        <v>1465.1006924366825</v>
      </c>
      <c r="J18" s="70" t="s">
        <v>79</v>
      </c>
      <c r="K18" s="71" t="s">
        <v>79</v>
      </c>
      <c r="L18" s="72">
        <f>800/I19+(0.14*(1+4/B19^0.3))</f>
        <v>1.2640208336096581</v>
      </c>
      <c r="N18" s="19" t="s">
        <v>95</v>
      </c>
      <c r="O18" s="73">
        <v>1E-3</v>
      </c>
    </row>
    <row r="19" spans="1:15" ht="15.75" thickBot="1" x14ac:dyDescent="0.3">
      <c r="A19" s="46" t="s">
        <v>96</v>
      </c>
      <c r="B19" s="77">
        <v>0.9</v>
      </c>
      <c r="C19" s="78">
        <f t="shared" si="0"/>
        <v>2.2859999999999998E-2</v>
      </c>
      <c r="D19" s="77">
        <v>1</v>
      </c>
      <c r="E19" s="79">
        <v>0.5</v>
      </c>
      <c r="F19" s="78">
        <f>E19*$O$23</f>
        <v>0.15240000000000001</v>
      </c>
      <c r="G19" s="77" t="s">
        <v>77</v>
      </c>
      <c r="H19" s="80">
        <f>$O$8/(PI()*C19^2/4)</f>
        <v>0.15381634566264385</v>
      </c>
      <c r="I19" s="80">
        <f t="shared" si="2"/>
        <v>1465.1006924366825</v>
      </c>
      <c r="J19" s="78">
        <f t="shared" si="5"/>
        <v>8.7489063867016631E-5</v>
      </c>
      <c r="K19" s="80">
        <f t="shared" si="3"/>
        <v>1.0920751100997432E-2</v>
      </c>
      <c r="L19" s="81">
        <f t="shared" si="4"/>
        <v>0.29122002935993152</v>
      </c>
      <c r="N19" s="19" t="s">
        <v>43</v>
      </c>
      <c r="O19" s="20">
        <v>44.01</v>
      </c>
    </row>
    <row r="20" spans="1:15" ht="15.75" thickBot="1" x14ac:dyDescent="0.3">
      <c r="E20" s="82"/>
      <c r="N20" s="19" t="s">
        <v>97</v>
      </c>
      <c r="O20" s="20">
        <v>60</v>
      </c>
    </row>
    <row r="21" spans="1:15" ht="15.75" thickBot="1" x14ac:dyDescent="0.3">
      <c r="A21" s="63" t="s">
        <v>98</v>
      </c>
      <c r="B21" s="64"/>
      <c r="C21" s="64"/>
      <c r="D21" s="64"/>
      <c r="E21" s="64"/>
      <c r="F21" s="64"/>
      <c r="G21" s="64"/>
      <c r="H21" s="64"/>
      <c r="I21" s="65"/>
      <c r="N21" s="19" t="s">
        <v>99</v>
      </c>
      <c r="O21" s="20">
        <v>9.8000000000000007</v>
      </c>
    </row>
    <row r="22" spans="1:15" ht="15.75" thickBot="1" x14ac:dyDescent="0.3">
      <c r="A22" s="37" t="s">
        <v>1</v>
      </c>
      <c r="B22" s="38" t="s">
        <v>100</v>
      </c>
      <c r="C22" s="38" t="s">
        <v>101</v>
      </c>
      <c r="D22" s="38" t="s">
        <v>102</v>
      </c>
      <c r="E22" s="38" t="s">
        <v>103</v>
      </c>
      <c r="F22" s="38" t="s">
        <v>104</v>
      </c>
      <c r="G22" s="38" t="s">
        <v>105</v>
      </c>
      <c r="H22" s="38" t="s">
        <v>106</v>
      </c>
      <c r="I22" s="39" t="s">
        <v>107</v>
      </c>
      <c r="N22" s="19" t="s">
        <v>108</v>
      </c>
      <c r="O22" s="20">
        <v>2.5399999999999999E-2</v>
      </c>
    </row>
    <row r="23" spans="1:15" x14ac:dyDescent="0.25">
      <c r="A23" s="8" t="s">
        <v>109</v>
      </c>
      <c r="B23" s="40">
        <v>30</v>
      </c>
      <c r="C23" s="66">
        <f>B23*$O$25</f>
        <v>206844</v>
      </c>
      <c r="D23" s="66">
        <f>C23/$O$4/$O$21</f>
        <v>21.106530612244896</v>
      </c>
      <c r="E23" s="40">
        <v>5</v>
      </c>
      <c r="F23" s="66">
        <f>E23*O23</f>
        <v>1.524</v>
      </c>
      <c r="G23" s="67" cm="1">
        <f t="array" ref="G23">SUM(L3:L19/(C3:C19)^4)</f>
        <v>42279094.794490069</v>
      </c>
      <c r="H23" s="67">
        <f>G23*8*O8^2/(O21*PI()^2)</f>
        <v>1.3937327068563441E-2</v>
      </c>
      <c r="I23" s="83">
        <f>H23+F23+D23</f>
        <v>22.644467939313458</v>
      </c>
      <c r="N23" s="19" t="s">
        <v>110</v>
      </c>
      <c r="O23" s="20">
        <v>0.30480000000000002</v>
      </c>
    </row>
    <row r="24" spans="1:15" x14ac:dyDescent="0.25">
      <c r="A24" s="15" t="s">
        <v>111</v>
      </c>
      <c r="B24" s="16">
        <v>35</v>
      </c>
      <c r="C24" s="70">
        <f t="shared" ref="C24:C27" si="6">B24*$O$25</f>
        <v>241318</v>
      </c>
      <c r="D24" s="70">
        <f>C24/$O$4/$O$21</f>
        <v>24.624285714285715</v>
      </c>
      <c r="E24" s="45"/>
      <c r="F24" s="45"/>
      <c r="G24" s="45"/>
      <c r="H24" s="45"/>
      <c r="I24" s="84">
        <f>H24+F24+D24</f>
        <v>24.624285714285715</v>
      </c>
      <c r="N24" s="85" t="s">
        <v>112</v>
      </c>
      <c r="O24" s="86">
        <f>O14/O16*O18*O4</f>
        <v>234.84848484848487</v>
      </c>
    </row>
    <row r="25" spans="1:15" ht="15.75" thickBot="1" x14ac:dyDescent="0.3">
      <c r="A25" s="15" t="s">
        <v>113</v>
      </c>
      <c r="B25" s="16">
        <v>35</v>
      </c>
      <c r="C25" s="70">
        <f t="shared" si="6"/>
        <v>241318</v>
      </c>
      <c r="D25" s="70">
        <f>C25/$O$4/$O$21</f>
        <v>24.624285714285715</v>
      </c>
      <c r="E25" s="45"/>
      <c r="F25" s="45"/>
      <c r="G25" s="45"/>
      <c r="H25" s="45"/>
      <c r="I25" s="84">
        <f t="shared" ref="I25:I27" si="7">H25+F25+D25</f>
        <v>24.624285714285715</v>
      </c>
      <c r="N25" s="43" t="s">
        <v>114</v>
      </c>
      <c r="O25" s="44">
        <v>6894.8</v>
      </c>
    </row>
    <row r="26" spans="1:15" ht="15.75" thickBot="1" x14ac:dyDescent="0.3">
      <c r="A26" s="15" t="s">
        <v>115</v>
      </c>
      <c r="B26" s="16">
        <v>20</v>
      </c>
      <c r="C26" s="70">
        <f t="shared" si="6"/>
        <v>137896</v>
      </c>
      <c r="D26" s="70">
        <f>C26/$O$4/$O$21</f>
        <v>14.071020408163262</v>
      </c>
      <c r="E26" s="45"/>
      <c r="F26" s="45"/>
      <c r="G26" s="45"/>
      <c r="H26" s="45"/>
      <c r="I26" s="84">
        <f t="shared" si="7"/>
        <v>14.071020408163262</v>
      </c>
    </row>
    <row r="27" spans="1:15" ht="15.75" thickBot="1" x14ac:dyDescent="0.3">
      <c r="A27" s="46" t="s">
        <v>116</v>
      </c>
      <c r="B27" s="77">
        <v>2</v>
      </c>
      <c r="C27" s="78">
        <f t="shared" si="6"/>
        <v>13789.6</v>
      </c>
      <c r="D27" s="78">
        <f>C27/$O$4/$O$21</f>
        <v>1.4071020408163264</v>
      </c>
      <c r="E27" s="47"/>
      <c r="F27" s="47"/>
      <c r="G27" s="47"/>
      <c r="H27" s="47"/>
      <c r="I27" s="87">
        <f t="shared" si="7"/>
        <v>1.4071020408163264</v>
      </c>
      <c r="N27" s="50" t="s">
        <v>46</v>
      </c>
    </row>
    <row r="28" spans="1:15" ht="15.75" thickBot="1" x14ac:dyDescent="0.3">
      <c r="N28" s="51" t="s">
        <v>47</v>
      </c>
    </row>
    <row r="29" spans="1:15" ht="15.75" thickBot="1" x14ac:dyDescent="0.3">
      <c r="A29" s="63" t="s">
        <v>117</v>
      </c>
      <c r="B29" s="64"/>
      <c r="C29" s="64"/>
      <c r="D29" s="64"/>
      <c r="E29" s="64"/>
      <c r="F29" s="64"/>
      <c r="G29" s="65"/>
      <c r="N29" s="55" t="s">
        <v>49</v>
      </c>
    </row>
    <row r="30" spans="1:15" ht="15.75" thickBot="1" x14ac:dyDescent="0.3">
      <c r="A30" s="88" t="s">
        <v>118</v>
      </c>
      <c r="B30" s="89" t="s">
        <v>119</v>
      </c>
      <c r="C30" s="89" t="s">
        <v>120</v>
      </c>
      <c r="D30" s="89" t="s">
        <v>121</v>
      </c>
      <c r="E30" s="89" t="s">
        <v>122</v>
      </c>
      <c r="F30" s="89" t="s">
        <v>123</v>
      </c>
      <c r="G30" s="90" t="s">
        <v>124</v>
      </c>
      <c r="N30" s="56" t="s">
        <v>57</v>
      </c>
    </row>
    <row r="31" spans="1:15" x14ac:dyDescent="0.25">
      <c r="A31" s="13" t="s">
        <v>32</v>
      </c>
      <c r="B31" s="11">
        <v>0.7</v>
      </c>
      <c r="C31" s="10">
        <f>SUM(I23:I27)*O21*O4*O8/B31</f>
        <v>77.221986454299412</v>
      </c>
      <c r="D31" s="11">
        <f>O9</f>
        <v>6.3131313131313135E-2</v>
      </c>
      <c r="E31" s="91">
        <f>C31/D31</f>
        <v>1223.1962654361025</v>
      </c>
      <c r="F31" s="92">
        <f>C31/1000/D31/3600</f>
        <v>3.3977674039891738E-4</v>
      </c>
      <c r="G31" s="93">
        <f>F31*O24</f>
        <v>7.979605266944273E-2</v>
      </c>
    </row>
    <row r="32" spans="1:15" ht="15.75" thickBot="1" x14ac:dyDescent="0.3">
      <c r="A32" s="43" t="s">
        <v>125</v>
      </c>
      <c r="B32" s="79">
        <v>0.7</v>
      </c>
      <c r="C32" s="79">
        <f>240*10/B32*0.75</f>
        <v>2571.4285714285716</v>
      </c>
      <c r="D32" s="79">
        <f>O9</f>
        <v>6.3131313131313135E-2</v>
      </c>
      <c r="E32" s="94">
        <f>C32/D32</f>
        <v>40731.428571428572</v>
      </c>
      <c r="F32" s="80">
        <f>C32/1000/D32/3600</f>
        <v>1.1314285714285714E-2</v>
      </c>
      <c r="G32" s="87">
        <f>F32*O24</f>
        <v>2.6571428571428575</v>
      </c>
    </row>
    <row r="34" spans="7:7" x14ac:dyDescent="0.25">
      <c r="G34" s="95"/>
    </row>
  </sheetData>
  <mergeCells count="5">
    <mergeCell ref="A21:I21"/>
    <mergeCell ref="A29:G29"/>
    <mergeCell ref="A1:L1"/>
    <mergeCell ref="N2:O2"/>
    <mergeCell ref="N11:O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D2B33-DC10-43FD-9FCD-0E22C5D3F782}">
  <dimension ref="A1:O34"/>
  <sheetViews>
    <sheetView workbookViewId="0">
      <selection activeCell="G34" sqref="G34"/>
    </sheetView>
  </sheetViews>
  <sheetFormatPr defaultRowHeight="15" x14ac:dyDescent="0.25"/>
  <cols>
    <col min="1" max="1" width="30.28515625" bestFit="1" customWidth="1"/>
    <col min="2" max="2" width="22.85546875" bestFit="1" customWidth="1"/>
    <col min="3" max="3" width="22.42578125" bestFit="1" customWidth="1"/>
    <col min="4" max="4" width="26.28515625" bestFit="1" customWidth="1"/>
    <col min="5" max="5" width="29" bestFit="1" customWidth="1"/>
    <col min="6" max="6" width="26.28515625" bestFit="1" customWidth="1"/>
    <col min="7" max="7" width="31.42578125" bestFit="1" customWidth="1"/>
    <col min="8" max="8" width="27.7109375" bestFit="1" customWidth="1"/>
    <col min="9" max="9" width="17.7109375" bestFit="1" customWidth="1"/>
    <col min="10" max="10" width="23.85546875" bestFit="1" customWidth="1"/>
    <col min="11" max="11" width="14.28515625" bestFit="1" customWidth="1"/>
    <col min="12" max="12" width="15.28515625" bestFit="1" customWidth="1"/>
    <col min="14" max="14" width="24.42578125" bestFit="1" customWidth="1"/>
  </cols>
  <sheetData>
    <row r="1" spans="1:15" ht="15.75" thickBot="1" x14ac:dyDescent="0.3">
      <c r="A1" s="63" t="s">
        <v>62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5"/>
    </row>
    <row r="2" spans="1:15" ht="15.75" thickBot="1" x14ac:dyDescent="0.3">
      <c r="A2" s="37" t="s">
        <v>63</v>
      </c>
      <c r="B2" s="38" t="s">
        <v>64</v>
      </c>
      <c r="C2" s="38" t="s">
        <v>65</v>
      </c>
      <c r="D2" s="38" t="s">
        <v>66</v>
      </c>
      <c r="E2" s="38" t="s">
        <v>67</v>
      </c>
      <c r="F2" s="38" t="s">
        <v>68</v>
      </c>
      <c r="G2" s="38" t="s">
        <v>69</v>
      </c>
      <c r="H2" s="38" t="s">
        <v>70</v>
      </c>
      <c r="I2" s="38" t="s">
        <v>71</v>
      </c>
      <c r="J2" s="38" t="s">
        <v>72</v>
      </c>
      <c r="K2" s="38" t="s">
        <v>73</v>
      </c>
      <c r="L2" s="39" t="s">
        <v>74</v>
      </c>
      <c r="N2" s="1" t="s">
        <v>75</v>
      </c>
      <c r="O2" s="3"/>
    </row>
    <row r="3" spans="1:15" x14ac:dyDescent="0.25">
      <c r="A3" s="8" t="s">
        <v>76</v>
      </c>
      <c r="B3" s="40">
        <v>0.9</v>
      </c>
      <c r="C3" s="66">
        <f>B3*$O$22</f>
        <v>2.2859999999999998E-2</v>
      </c>
      <c r="D3" s="40">
        <v>1</v>
      </c>
      <c r="E3" s="40">
        <v>1</v>
      </c>
      <c r="F3" s="66">
        <f>E3*$O$23</f>
        <v>0.30480000000000002</v>
      </c>
      <c r="G3" s="40" t="s">
        <v>77</v>
      </c>
      <c r="H3" s="67">
        <f>$O$8/(PI()*C3^2/4)</f>
        <v>0.15381634566264385</v>
      </c>
      <c r="I3" s="67">
        <f>H3*C3/$O$6</f>
        <v>1465.1006924366825</v>
      </c>
      <c r="J3" s="66">
        <f>0.002/1000/C3</f>
        <v>8.7489063867016631E-5</v>
      </c>
      <c r="K3" s="67">
        <f>16/I3</f>
        <v>1.0920751100997432E-2</v>
      </c>
      <c r="L3" s="68">
        <f>K3*4*F3/C3</f>
        <v>0.58244005871986304</v>
      </c>
      <c r="N3" s="69" t="s">
        <v>3</v>
      </c>
      <c r="O3" s="14">
        <v>298</v>
      </c>
    </row>
    <row r="4" spans="1:15" x14ac:dyDescent="0.25">
      <c r="A4" s="15" t="s">
        <v>78</v>
      </c>
      <c r="B4" s="16">
        <v>0.9</v>
      </c>
      <c r="C4" s="70">
        <f t="shared" ref="C4:C19" si="0">B4*$O$22</f>
        <v>2.2859999999999998E-2</v>
      </c>
      <c r="D4" s="16">
        <v>1</v>
      </c>
      <c r="E4" s="16" t="s">
        <v>79</v>
      </c>
      <c r="F4" s="70" t="s">
        <v>79</v>
      </c>
      <c r="G4" s="16" t="s">
        <v>77</v>
      </c>
      <c r="H4" s="71">
        <f t="shared" ref="H4:H17" si="1">$O$8/(PI()*C4^2/4)</f>
        <v>0.15381634566264385</v>
      </c>
      <c r="I4" s="71">
        <f t="shared" ref="I4:I19" si="2">H4*C4/$O$6</f>
        <v>1465.1006924366825</v>
      </c>
      <c r="J4" s="70" t="s">
        <v>79</v>
      </c>
      <c r="K4" s="71" t="s">
        <v>79</v>
      </c>
      <c r="L4" s="72">
        <f>300/I5+(0.017*(1+3.5/B5^0.3))</f>
        <v>0.28317480649067917</v>
      </c>
      <c r="N4" s="15" t="s">
        <v>80</v>
      </c>
      <c r="O4" s="20">
        <v>1000</v>
      </c>
    </row>
    <row r="5" spans="1:15" x14ac:dyDescent="0.25">
      <c r="A5" s="15" t="s">
        <v>81</v>
      </c>
      <c r="B5" s="16">
        <v>0.9</v>
      </c>
      <c r="C5" s="70">
        <f t="shared" si="0"/>
        <v>2.2859999999999998E-2</v>
      </c>
      <c r="D5" s="16">
        <v>1</v>
      </c>
      <c r="E5" s="16" t="s">
        <v>79</v>
      </c>
      <c r="F5" s="70" t="s">
        <v>79</v>
      </c>
      <c r="G5" s="16" t="s">
        <v>77</v>
      </c>
      <c r="H5" s="71">
        <f t="shared" si="1"/>
        <v>0.15381634566264385</v>
      </c>
      <c r="I5" s="71">
        <f t="shared" si="2"/>
        <v>1465.1006924366825</v>
      </c>
      <c r="J5" s="70" t="s">
        <v>79</v>
      </c>
      <c r="K5" s="71" t="s">
        <v>79</v>
      </c>
      <c r="L5" s="72">
        <f>800/I6+(0.14*(1+4/B6^0.3))</f>
        <v>1.2640208336096581</v>
      </c>
      <c r="N5" s="15" t="s">
        <v>82</v>
      </c>
      <c r="O5" s="73">
        <f>2.4*10^-3</f>
        <v>2.3999999999999998E-3</v>
      </c>
    </row>
    <row r="6" spans="1:15" x14ac:dyDescent="0.25">
      <c r="A6" s="15" t="s">
        <v>83</v>
      </c>
      <c r="B6" s="16">
        <v>0.9</v>
      </c>
      <c r="C6" s="70">
        <f t="shared" si="0"/>
        <v>2.2859999999999998E-2</v>
      </c>
      <c r="D6" s="16">
        <v>1</v>
      </c>
      <c r="E6" s="16">
        <v>0.5</v>
      </c>
      <c r="F6" s="70">
        <f>E6*$O$23</f>
        <v>0.15240000000000001</v>
      </c>
      <c r="G6" s="16" t="s">
        <v>77</v>
      </c>
      <c r="H6" s="71">
        <f t="shared" si="1"/>
        <v>0.15381634566264385</v>
      </c>
      <c r="I6" s="71">
        <f t="shared" si="2"/>
        <v>1465.1006924366825</v>
      </c>
      <c r="J6" s="70">
        <f>0.002/1000/C6</f>
        <v>8.7489063867016631E-5</v>
      </c>
      <c r="K6" s="71">
        <f t="shared" ref="K6:K19" si="3">16/I6</f>
        <v>1.0920751100997432E-2</v>
      </c>
      <c r="L6" s="72">
        <f t="shared" ref="L6:L19" si="4">K6*4*F6/C6</f>
        <v>0.29122002935993152</v>
      </c>
      <c r="N6" s="15" t="s">
        <v>84</v>
      </c>
      <c r="O6" s="73">
        <f>O5/O4</f>
        <v>2.3999999999999999E-6</v>
      </c>
    </row>
    <row r="7" spans="1:15" x14ac:dyDescent="0.25">
      <c r="A7" s="15" t="s">
        <v>85</v>
      </c>
      <c r="B7" s="16">
        <v>0.9</v>
      </c>
      <c r="C7" s="70">
        <f t="shared" si="0"/>
        <v>2.2859999999999998E-2</v>
      </c>
      <c r="D7" s="16">
        <v>1</v>
      </c>
      <c r="E7" s="16">
        <v>0.5</v>
      </c>
      <c r="F7" s="70">
        <f>E7*$O$23</f>
        <v>0.15240000000000001</v>
      </c>
      <c r="G7" s="16" t="s">
        <v>77</v>
      </c>
      <c r="H7" s="71">
        <f t="shared" si="1"/>
        <v>0.15381634566264385</v>
      </c>
      <c r="I7" s="71">
        <f t="shared" si="2"/>
        <v>1465.1006924366825</v>
      </c>
      <c r="J7" s="70">
        <f t="shared" ref="J7:J19" si="5">0.002/1000/C7</f>
        <v>8.7489063867016631E-5</v>
      </c>
      <c r="K7" s="71">
        <f t="shared" si="3"/>
        <v>1.0920751100997432E-2</v>
      </c>
      <c r="L7" s="72">
        <f t="shared" si="4"/>
        <v>0.29122002935993152</v>
      </c>
      <c r="N7" s="15" t="s">
        <v>86</v>
      </c>
      <c r="O7" s="20">
        <v>1</v>
      </c>
    </row>
    <row r="8" spans="1:15" x14ac:dyDescent="0.25">
      <c r="A8" s="15" t="s">
        <v>87</v>
      </c>
      <c r="B8" s="16">
        <v>0.9</v>
      </c>
      <c r="C8" s="70">
        <f t="shared" si="0"/>
        <v>2.2859999999999998E-2</v>
      </c>
      <c r="D8" s="16">
        <v>1</v>
      </c>
      <c r="E8" s="16">
        <v>0.5</v>
      </c>
      <c r="F8" s="70">
        <f>E8*$O$23</f>
        <v>0.15240000000000001</v>
      </c>
      <c r="G8" s="16" t="s">
        <v>77</v>
      </c>
      <c r="H8" s="71">
        <f t="shared" si="1"/>
        <v>0.15381634566264385</v>
      </c>
      <c r="I8" s="71">
        <f t="shared" si="2"/>
        <v>1465.1006924366825</v>
      </c>
      <c r="J8" s="70">
        <f t="shared" si="5"/>
        <v>8.7489063867016631E-5</v>
      </c>
      <c r="K8" s="71">
        <f t="shared" si="3"/>
        <v>1.0920751100997432E-2</v>
      </c>
      <c r="L8" s="72">
        <f t="shared" si="4"/>
        <v>0.29122002935993152</v>
      </c>
      <c r="N8" s="15" t="s">
        <v>88</v>
      </c>
      <c r="O8" s="73">
        <f>O7/O16*O18/O20</f>
        <v>6.3131313131313131E-5</v>
      </c>
    </row>
    <row r="9" spans="1:15" ht="15.75" thickBot="1" x14ac:dyDescent="0.3">
      <c r="A9" s="15" t="s">
        <v>81</v>
      </c>
      <c r="B9" s="16">
        <v>0.9</v>
      </c>
      <c r="C9" s="70">
        <f t="shared" si="0"/>
        <v>2.2859999999999998E-2</v>
      </c>
      <c r="D9" s="16">
        <v>1</v>
      </c>
      <c r="E9" s="16" t="s">
        <v>79</v>
      </c>
      <c r="F9" s="70" t="s">
        <v>79</v>
      </c>
      <c r="G9" s="16" t="s">
        <v>77</v>
      </c>
      <c r="H9" s="71">
        <f t="shared" si="1"/>
        <v>0.15381634566264385</v>
      </c>
      <c r="I9" s="71">
        <f t="shared" si="2"/>
        <v>1465.1006924366825</v>
      </c>
      <c r="J9" s="70" t="s">
        <v>79</v>
      </c>
      <c r="K9" s="71" t="s">
        <v>79</v>
      </c>
      <c r="L9" s="72">
        <f>800/I10+(0.14*(1+4/B10^0.3))</f>
        <v>1.2640208336096581</v>
      </c>
      <c r="N9" s="46" t="s">
        <v>89</v>
      </c>
      <c r="O9" s="44">
        <f>O8*O4</f>
        <v>6.3131313131313135E-2</v>
      </c>
    </row>
    <row r="10" spans="1:15" ht="15.75" thickBot="1" x14ac:dyDescent="0.3">
      <c r="A10" s="15" t="s">
        <v>90</v>
      </c>
      <c r="B10" s="16">
        <v>0.9</v>
      </c>
      <c r="C10" s="70">
        <f t="shared" si="0"/>
        <v>2.2859999999999998E-2</v>
      </c>
      <c r="D10" s="16">
        <v>1</v>
      </c>
      <c r="E10" s="16" t="s">
        <v>79</v>
      </c>
      <c r="F10" s="70" t="s">
        <v>79</v>
      </c>
      <c r="G10" s="16" t="s">
        <v>77</v>
      </c>
      <c r="H10" s="71">
        <f t="shared" si="1"/>
        <v>0.15381634566264385</v>
      </c>
      <c r="I10" s="71">
        <f t="shared" si="2"/>
        <v>1465.1006924366825</v>
      </c>
      <c r="J10" s="70" t="s">
        <v>79</v>
      </c>
      <c r="K10" s="71" t="s">
        <v>79</v>
      </c>
      <c r="L10" s="72">
        <f>300/I11+(0.017*(1+3.5/B11^0.3))</f>
        <v>0.28317480649067917</v>
      </c>
    </row>
    <row r="11" spans="1:15" ht="15.75" thickBot="1" x14ac:dyDescent="0.3">
      <c r="A11" s="15" t="s">
        <v>91</v>
      </c>
      <c r="B11" s="16">
        <v>0.9</v>
      </c>
      <c r="C11" s="70">
        <f t="shared" si="0"/>
        <v>2.2859999999999998E-2</v>
      </c>
      <c r="D11" s="16">
        <v>1</v>
      </c>
      <c r="E11" s="16">
        <v>1</v>
      </c>
      <c r="F11" s="70">
        <f>E11*$O$23</f>
        <v>0.30480000000000002</v>
      </c>
      <c r="G11" s="16" t="s">
        <v>77</v>
      </c>
      <c r="H11" s="71">
        <f t="shared" si="1"/>
        <v>0.15381634566264385</v>
      </c>
      <c r="I11" s="71">
        <f t="shared" si="2"/>
        <v>1465.1006924366825</v>
      </c>
      <c r="J11" s="70">
        <f t="shared" si="5"/>
        <v>8.7489063867016631E-5</v>
      </c>
      <c r="K11" s="71">
        <f t="shared" si="3"/>
        <v>1.0920751100997432E-2</v>
      </c>
      <c r="L11" s="72">
        <f t="shared" si="4"/>
        <v>0.58244005871986304</v>
      </c>
      <c r="N11" s="74" t="s">
        <v>92</v>
      </c>
      <c r="O11" s="75"/>
    </row>
    <row r="12" spans="1:15" x14ac:dyDescent="0.25">
      <c r="A12" s="15" t="s">
        <v>87</v>
      </c>
      <c r="B12" s="16">
        <v>0.9</v>
      </c>
      <c r="C12" s="70">
        <f t="shared" si="0"/>
        <v>2.2859999999999998E-2</v>
      </c>
      <c r="D12" s="16">
        <v>1</v>
      </c>
      <c r="E12" s="16">
        <v>1</v>
      </c>
      <c r="F12" s="70">
        <f>E12*$O$23</f>
        <v>0.30480000000000002</v>
      </c>
      <c r="G12" s="16" t="s">
        <v>77</v>
      </c>
      <c r="H12" s="71">
        <f t="shared" si="1"/>
        <v>0.15381634566264385</v>
      </c>
      <c r="I12" s="71">
        <f t="shared" si="2"/>
        <v>1465.1006924366825</v>
      </c>
      <c r="J12" s="70">
        <f t="shared" si="5"/>
        <v>8.7489063867016631E-5</v>
      </c>
      <c r="K12" s="71">
        <f t="shared" si="3"/>
        <v>1.0920751100997432E-2</v>
      </c>
      <c r="L12" s="72">
        <f t="shared" si="4"/>
        <v>0.58244005871986304</v>
      </c>
      <c r="N12" s="13" t="s">
        <v>15</v>
      </c>
      <c r="O12" s="14">
        <v>8.3000000000000004E-2</v>
      </c>
    </row>
    <row r="13" spans="1:15" x14ac:dyDescent="0.25">
      <c r="A13" s="15" t="s">
        <v>81</v>
      </c>
      <c r="B13" s="16">
        <v>0.9</v>
      </c>
      <c r="C13" s="70">
        <f t="shared" si="0"/>
        <v>2.2859999999999998E-2</v>
      </c>
      <c r="D13" s="16">
        <v>1</v>
      </c>
      <c r="E13" s="16" t="s">
        <v>79</v>
      </c>
      <c r="F13" s="70" t="s">
        <v>79</v>
      </c>
      <c r="G13" s="16" t="s">
        <v>77</v>
      </c>
      <c r="H13" s="71">
        <f t="shared" si="1"/>
        <v>0.15381634566264385</v>
      </c>
      <c r="I13" s="71">
        <f t="shared" si="2"/>
        <v>1465.1006924366825</v>
      </c>
      <c r="J13" s="70" t="s">
        <v>79</v>
      </c>
      <c r="K13" s="71" t="s">
        <v>79</v>
      </c>
      <c r="L13" s="72">
        <f>800/I14+(0.14*(1+4/B14^0.3))</f>
        <v>1.2640208336096581</v>
      </c>
      <c r="N13" s="19" t="s">
        <v>17</v>
      </c>
      <c r="O13" s="20">
        <v>14.5</v>
      </c>
    </row>
    <row r="14" spans="1:15" x14ac:dyDescent="0.25">
      <c r="A14" s="15" t="s">
        <v>93</v>
      </c>
      <c r="B14" s="16">
        <v>0.9</v>
      </c>
      <c r="C14" s="70">
        <f t="shared" si="0"/>
        <v>2.2859999999999998E-2</v>
      </c>
      <c r="D14" s="16">
        <v>1</v>
      </c>
      <c r="E14" s="16">
        <v>1</v>
      </c>
      <c r="F14" s="70">
        <f>E14*$O$23</f>
        <v>0.30480000000000002</v>
      </c>
      <c r="G14" s="16" t="s">
        <v>77</v>
      </c>
      <c r="H14" s="71">
        <f t="shared" si="1"/>
        <v>0.15381634566264385</v>
      </c>
      <c r="I14" s="71">
        <f t="shared" si="2"/>
        <v>1465.1006924366825</v>
      </c>
      <c r="J14" s="70">
        <f t="shared" si="5"/>
        <v>8.7489063867016631E-5</v>
      </c>
      <c r="K14" s="71">
        <f t="shared" si="3"/>
        <v>1.0920751100997432E-2</v>
      </c>
      <c r="L14" s="72">
        <f t="shared" si="4"/>
        <v>0.58244005871986304</v>
      </c>
      <c r="N14" s="19" t="s">
        <v>36</v>
      </c>
      <c r="O14" s="20">
        <v>62</v>
      </c>
    </row>
    <row r="15" spans="1:15" x14ac:dyDescent="0.25">
      <c r="A15" s="15" t="s">
        <v>87</v>
      </c>
      <c r="B15" s="16">
        <v>0.9</v>
      </c>
      <c r="C15" s="70">
        <f t="shared" si="0"/>
        <v>2.2859999999999998E-2</v>
      </c>
      <c r="D15" s="16">
        <v>1</v>
      </c>
      <c r="E15" s="16">
        <v>1</v>
      </c>
      <c r="F15" s="70">
        <f>E15*$O$23</f>
        <v>0.30480000000000002</v>
      </c>
      <c r="G15" s="16" t="s">
        <v>77</v>
      </c>
      <c r="H15" s="71">
        <f t="shared" si="1"/>
        <v>0.15381634566264385</v>
      </c>
      <c r="I15" s="71">
        <f t="shared" si="2"/>
        <v>1465.1006924366825</v>
      </c>
      <c r="J15" s="70">
        <f t="shared" si="5"/>
        <v>8.7489063867016631E-5</v>
      </c>
      <c r="K15" s="71">
        <f t="shared" si="3"/>
        <v>1.0920751100997432E-2</v>
      </c>
      <c r="L15" s="72">
        <f t="shared" si="4"/>
        <v>0.58244005871986304</v>
      </c>
      <c r="N15" s="19" t="s">
        <v>94</v>
      </c>
      <c r="O15" s="20">
        <f>O14/O16*O18</f>
        <v>0.23484848484848486</v>
      </c>
    </row>
    <row r="16" spans="1:15" x14ac:dyDescent="0.25">
      <c r="A16" s="15" t="s">
        <v>81</v>
      </c>
      <c r="B16" s="16">
        <v>0.9</v>
      </c>
      <c r="C16" s="70">
        <f t="shared" si="0"/>
        <v>2.2859999999999998E-2</v>
      </c>
      <c r="D16" s="16">
        <v>1</v>
      </c>
      <c r="E16" s="16" t="s">
        <v>79</v>
      </c>
      <c r="F16" s="70" t="s">
        <v>79</v>
      </c>
      <c r="G16" s="16" t="s">
        <v>77</v>
      </c>
      <c r="H16" s="71">
        <f t="shared" si="1"/>
        <v>0.15381634566264385</v>
      </c>
      <c r="I16" s="71">
        <f t="shared" si="2"/>
        <v>1465.1006924366825</v>
      </c>
      <c r="J16" s="70" t="s">
        <v>79</v>
      </c>
      <c r="K16" s="71" t="s">
        <v>79</v>
      </c>
      <c r="L16" s="72">
        <f>800/I17+(0.14*(1+4/B17^0.3))</f>
        <v>1.2640208336096581</v>
      </c>
      <c r="N16" s="19" t="s">
        <v>19</v>
      </c>
      <c r="O16" s="20">
        <v>0.26400000000000001</v>
      </c>
    </row>
    <row r="17" spans="1:15" x14ac:dyDescent="0.25">
      <c r="A17" s="15" t="s">
        <v>87</v>
      </c>
      <c r="B17" s="16">
        <v>0.9</v>
      </c>
      <c r="C17" s="70">
        <f t="shared" si="0"/>
        <v>2.2859999999999998E-2</v>
      </c>
      <c r="D17" s="16">
        <v>1</v>
      </c>
      <c r="E17" s="16">
        <v>1</v>
      </c>
      <c r="F17" s="70">
        <f>E17*$O$23</f>
        <v>0.30480000000000002</v>
      </c>
      <c r="G17" s="16" t="s">
        <v>77</v>
      </c>
      <c r="H17" s="71">
        <f t="shared" si="1"/>
        <v>0.15381634566264385</v>
      </c>
      <c r="I17" s="71">
        <f t="shared" si="2"/>
        <v>1465.1006924366825</v>
      </c>
      <c r="J17" s="70">
        <f t="shared" si="5"/>
        <v>8.7489063867016631E-5</v>
      </c>
      <c r="K17" s="71">
        <f t="shared" si="3"/>
        <v>1.0920751100997432E-2</v>
      </c>
      <c r="L17" s="72">
        <f t="shared" si="4"/>
        <v>0.58244005871986304</v>
      </c>
      <c r="N17" s="19" t="s">
        <v>21</v>
      </c>
      <c r="O17" s="20">
        <f>O12*O13*O16</f>
        <v>0.31772400000000001</v>
      </c>
    </row>
    <row r="18" spans="1:15" x14ac:dyDescent="0.25">
      <c r="A18" s="15" t="s">
        <v>81</v>
      </c>
      <c r="B18" s="16">
        <v>0.9</v>
      </c>
      <c r="C18" s="70">
        <f t="shared" si="0"/>
        <v>2.2859999999999998E-2</v>
      </c>
      <c r="D18" s="16">
        <v>1</v>
      </c>
      <c r="E18" s="76" t="s">
        <v>79</v>
      </c>
      <c r="F18" s="70" t="s">
        <v>79</v>
      </c>
      <c r="G18" s="16" t="s">
        <v>77</v>
      </c>
      <c r="H18" s="71">
        <f>$O$8/(PI()*C18^2/4)</f>
        <v>0.15381634566264385</v>
      </c>
      <c r="I18" s="71">
        <f>H18*C18/$O$6</f>
        <v>1465.1006924366825</v>
      </c>
      <c r="J18" s="70" t="s">
        <v>79</v>
      </c>
      <c r="K18" s="71" t="s">
        <v>79</v>
      </c>
      <c r="L18" s="72">
        <f>800/I19+(0.14*(1+4/B19^0.3))</f>
        <v>1.2640208336096581</v>
      </c>
      <c r="N18" s="19" t="s">
        <v>95</v>
      </c>
      <c r="O18" s="73">
        <v>1E-3</v>
      </c>
    </row>
    <row r="19" spans="1:15" ht="15.75" thickBot="1" x14ac:dyDescent="0.3">
      <c r="A19" s="46" t="s">
        <v>96</v>
      </c>
      <c r="B19" s="77">
        <v>0.9</v>
      </c>
      <c r="C19" s="78">
        <f t="shared" si="0"/>
        <v>2.2859999999999998E-2</v>
      </c>
      <c r="D19" s="77">
        <v>1</v>
      </c>
      <c r="E19" s="79">
        <v>0.5</v>
      </c>
      <c r="F19" s="78">
        <f>E19*$O$23</f>
        <v>0.15240000000000001</v>
      </c>
      <c r="G19" s="77" t="s">
        <v>77</v>
      </c>
      <c r="H19" s="80">
        <f>$O$8/(PI()*C19^2/4)</f>
        <v>0.15381634566264385</v>
      </c>
      <c r="I19" s="80">
        <f t="shared" si="2"/>
        <v>1465.1006924366825</v>
      </c>
      <c r="J19" s="78">
        <f t="shared" si="5"/>
        <v>8.7489063867016631E-5</v>
      </c>
      <c r="K19" s="80">
        <f t="shared" si="3"/>
        <v>1.0920751100997432E-2</v>
      </c>
      <c r="L19" s="81">
        <f t="shared" si="4"/>
        <v>0.29122002935993152</v>
      </c>
      <c r="N19" s="19" t="s">
        <v>43</v>
      </c>
      <c r="O19" s="20">
        <v>44.01</v>
      </c>
    </row>
    <row r="20" spans="1:15" ht="15.75" thickBot="1" x14ac:dyDescent="0.3">
      <c r="E20" s="82"/>
      <c r="N20" s="19" t="s">
        <v>97</v>
      </c>
      <c r="O20" s="20">
        <v>60</v>
      </c>
    </row>
    <row r="21" spans="1:15" ht="15.75" thickBot="1" x14ac:dyDescent="0.3">
      <c r="A21" s="63" t="s">
        <v>98</v>
      </c>
      <c r="B21" s="64"/>
      <c r="C21" s="64"/>
      <c r="D21" s="64"/>
      <c r="E21" s="64"/>
      <c r="F21" s="64"/>
      <c r="G21" s="64"/>
      <c r="H21" s="64"/>
      <c r="I21" s="65"/>
      <c r="N21" s="19" t="s">
        <v>99</v>
      </c>
      <c r="O21" s="20">
        <v>9.8000000000000007</v>
      </c>
    </row>
    <row r="22" spans="1:15" ht="15.75" thickBot="1" x14ac:dyDescent="0.3">
      <c r="A22" s="37" t="s">
        <v>1</v>
      </c>
      <c r="B22" s="38" t="s">
        <v>100</v>
      </c>
      <c r="C22" s="38" t="s">
        <v>101</v>
      </c>
      <c r="D22" s="38" t="s">
        <v>102</v>
      </c>
      <c r="E22" s="38" t="s">
        <v>103</v>
      </c>
      <c r="F22" s="38" t="s">
        <v>104</v>
      </c>
      <c r="G22" s="38" t="s">
        <v>105</v>
      </c>
      <c r="H22" s="38" t="s">
        <v>106</v>
      </c>
      <c r="I22" s="39" t="s">
        <v>107</v>
      </c>
      <c r="N22" s="19" t="s">
        <v>108</v>
      </c>
      <c r="O22" s="20">
        <v>2.5399999999999999E-2</v>
      </c>
    </row>
    <row r="23" spans="1:15" x14ac:dyDescent="0.25">
      <c r="A23" s="8" t="s">
        <v>109</v>
      </c>
      <c r="B23" s="40">
        <v>30</v>
      </c>
      <c r="C23" s="66">
        <f>B23*$O$25</f>
        <v>206844</v>
      </c>
      <c r="D23" s="66">
        <f>C23/$O$4/$O$21</f>
        <v>21.106530612244896</v>
      </c>
      <c r="E23" s="40">
        <v>5</v>
      </c>
      <c r="F23" s="66">
        <f>E23*O23</f>
        <v>1.524</v>
      </c>
      <c r="G23" s="67" cm="1">
        <f t="array" ref="G23">SUM(L3:L19/(C3:C19)^4)</f>
        <v>42279094.794490069</v>
      </c>
      <c r="H23" s="67">
        <f>G23*8*O8^2/(O21*PI()^2)</f>
        <v>1.3937327068563441E-2</v>
      </c>
      <c r="I23" s="83">
        <f>H23+F23+D23</f>
        <v>22.644467939313458</v>
      </c>
      <c r="N23" s="19" t="s">
        <v>110</v>
      </c>
      <c r="O23" s="20">
        <v>0.30480000000000002</v>
      </c>
    </row>
    <row r="24" spans="1:15" x14ac:dyDescent="0.25">
      <c r="A24" s="15" t="s">
        <v>111</v>
      </c>
      <c r="B24" s="16">
        <v>35</v>
      </c>
      <c r="C24" s="70">
        <f t="shared" ref="C24:C27" si="6">B24*$O$25</f>
        <v>241318</v>
      </c>
      <c r="D24" s="70">
        <f>C24/$O$4/$O$21</f>
        <v>24.624285714285715</v>
      </c>
      <c r="E24" s="45"/>
      <c r="F24" s="45"/>
      <c r="G24" s="45"/>
      <c r="H24" s="45"/>
      <c r="I24" s="84">
        <f>H24+F24+D24</f>
        <v>24.624285714285715</v>
      </c>
      <c r="N24" s="85" t="s">
        <v>112</v>
      </c>
      <c r="O24" s="86">
        <f>O14/O16*O18*O4</f>
        <v>234.84848484848487</v>
      </c>
    </row>
    <row r="25" spans="1:15" ht="15.75" thickBot="1" x14ac:dyDescent="0.3">
      <c r="A25" s="15" t="s">
        <v>113</v>
      </c>
      <c r="B25" s="16">
        <v>35</v>
      </c>
      <c r="C25" s="70">
        <f t="shared" si="6"/>
        <v>241318</v>
      </c>
      <c r="D25" s="70">
        <f>C25/$O$4/$O$21</f>
        <v>24.624285714285715</v>
      </c>
      <c r="E25" s="45"/>
      <c r="F25" s="45"/>
      <c r="G25" s="45"/>
      <c r="H25" s="45"/>
      <c r="I25" s="84">
        <f t="shared" ref="I25:I27" si="7">H25+F25+D25</f>
        <v>24.624285714285715</v>
      </c>
      <c r="N25" s="43" t="s">
        <v>114</v>
      </c>
      <c r="O25" s="44">
        <v>6894.8</v>
      </c>
    </row>
    <row r="26" spans="1:15" ht="15.75" thickBot="1" x14ac:dyDescent="0.3">
      <c r="A26" s="15" t="s">
        <v>115</v>
      </c>
      <c r="B26" s="16">
        <v>20</v>
      </c>
      <c r="C26" s="70">
        <f t="shared" si="6"/>
        <v>137896</v>
      </c>
      <c r="D26" s="70">
        <f>C26/$O$4/$O$21</f>
        <v>14.071020408163262</v>
      </c>
      <c r="E26" s="45"/>
      <c r="F26" s="45"/>
      <c r="G26" s="45"/>
      <c r="H26" s="45"/>
      <c r="I26" s="84">
        <f t="shared" si="7"/>
        <v>14.071020408163262</v>
      </c>
    </row>
    <row r="27" spans="1:15" ht="15.75" thickBot="1" x14ac:dyDescent="0.3">
      <c r="A27" s="46" t="s">
        <v>116</v>
      </c>
      <c r="B27" s="77">
        <v>2</v>
      </c>
      <c r="C27" s="78">
        <f t="shared" si="6"/>
        <v>13789.6</v>
      </c>
      <c r="D27" s="78">
        <f>C27/$O$4/$O$21</f>
        <v>1.4071020408163264</v>
      </c>
      <c r="E27" s="47"/>
      <c r="F27" s="47"/>
      <c r="G27" s="47"/>
      <c r="H27" s="47"/>
      <c r="I27" s="87">
        <f t="shared" si="7"/>
        <v>1.4071020408163264</v>
      </c>
      <c r="N27" s="50" t="s">
        <v>46</v>
      </c>
    </row>
    <row r="28" spans="1:15" ht="15.75" thickBot="1" x14ac:dyDescent="0.3">
      <c r="N28" s="51" t="s">
        <v>47</v>
      </c>
    </row>
    <row r="29" spans="1:15" ht="15.75" thickBot="1" x14ac:dyDescent="0.3">
      <c r="A29" s="63" t="s">
        <v>117</v>
      </c>
      <c r="B29" s="64"/>
      <c r="C29" s="64"/>
      <c r="D29" s="64"/>
      <c r="E29" s="64"/>
      <c r="F29" s="64"/>
      <c r="G29" s="65"/>
      <c r="N29" s="55" t="s">
        <v>49</v>
      </c>
    </row>
    <row r="30" spans="1:15" ht="15.75" thickBot="1" x14ac:dyDescent="0.3">
      <c r="A30" s="88" t="s">
        <v>118</v>
      </c>
      <c r="B30" s="89" t="s">
        <v>119</v>
      </c>
      <c r="C30" s="89" t="s">
        <v>120</v>
      </c>
      <c r="D30" s="89" t="s">
        <v>121</v>
      </c>
      <c r="E30" s="89" t="s">
        <v>122</v>
      </c>
      <c r="F30" s="89" t="s">
        <v>123</v>
      </c>
      <c r="G30" s="90" t="s">
        <v>124</v>
      </c>
      <c r="N30" s="56" t="s">
        <v>57</v>
      </c>
    </row>
    <row r="31" spans="1:15" x14ac:dyDescent="0.25">
      <c r="A31" s="13" t="s">
        <v>32</v>
      </c>
      <c r="B31" s="11">
        <v>0.7</v>
      </c>
      <c r="C31" s="10">
        <f>SUM(I23:I27)*O21*O4*O8/B31</f>
        <v>77.221986454299412</v>
      </c>
      <c r="D31" s="11">
        <f>O9</f>
        <v>6.3131313131313135E-2</v>
      </c>
      <c r="E31" s="91">
        <f>C31/D31</f>
        <v>1223.1962654361025</v>
      </c>
      <c r="F31" s="92">
        <f>C31/1000/D31/3600</f>
        <v>3.3977674039891738E-4</v>
      </c>
      <c r="G31" s="93">
        <f>F31*O24</f>
        <v>7.979605266944273E-2</v>
      </c>
    </row>
    <row r="32" spans="1:15" ht="15.75" thickBot="1" x14ac:dyDescent="0.3">
      <c r="A32" s="43" t="s">
        <v>125</v>
      </c>
      <c r="B32" s="79">
        <v>0.7</v>
      </c>
      <c r="C32" s="79">
        <f>240*10/B32*0.5</f>
        <v>1714.2857142857144</v>
      </c>
      <c r="D32" s="79">
        <f>O9</f>
        <v>6.3131313131313135E-2</v>
      </c>
      <c r="E32" s="94">
        <f>C32/D32</f>
        <v>27154.285714285714</v>
      </c>
      <c r="F32" s="80">
        <f>C32/1000/D32/3600</f>
        <v>7.5428571428571428E-3</v>
      </c>
      <c r="G32" s="87">
        <f>F32*O24</f>
        <v>1.7714285714285716</v>
      </c>
    </row>
    <row r="34" spans="7:7" x14ac:dyDescent="0.25">
      <c r="G34" s="95"/>
    </row>
  </sheetData>
  <mergeCells count="5">
    <mergeCell ref="A1:L1"/>
    <mergeCell ref="N2:O2"/>
    <mergeCell ref="N11:O11"/>
    <mergeCell ref="A21:I21"/>
    <mergeCell ref="A29:G2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CC4E4-FFF7-4B4D-A8DE-3E3ABFE44C5E}">
  <dimension ref="A1:O34"/>
  <sheetViews>
    <sheetView workbookViewId="0">
      <selection activeCell="G34" sqref="G34"/>
    </sheetView>
  </sheetViews>
  <sheetFormatPr defaultRowHeight="15" x14ac:dyDescent="0.25"/>
  <cols>
    <col min="1" max="1" width="30.28515625" bestFit="1" customWidth="1"/>
    <col min="2" max="2" width="22.85546875" bestFit="1" customWidth="1"/>
    <col min="3" max="3" width="22.42578125" bestFit="1" customWidth="1"/>
    <col min="4" max="4" width="26.28515625" bestFit="1" customWidth="1"/>
    <col min="5" max="5" width="29" bestFit="1" customWidth="1"/>
    <col min="6" max="6" width="26.28515625" bestFit="1" customWidth="1"/>
    <col min="7" max="7" width="31.42578125" bestFit="1" customWidth="1"/>
    <col min="8" max="8" width="27.7109375" bestFit="1" customWidth="1"/>
    <col min="9" max="9" width="17.7109375" bestFit="1" customWidth="1"/>
    <col min="10" max="10" width="23.85546875" bestFit="1" customWidth="1"/>
    <col min="11" max="11" width="14.28515625" bestFit="1" customWidth="1"/>
    <col min="12" max="12" width="15.28515625" bestFit="1" customWidth="1"/>
    <col min="14" max="14" width="24.42578125" bestFit="1" customWidth="1"/>
  </cols>
  <sheetData>
    <row r="1" spans="1:15" ht="15.75" thickBot="1" x14ac:dyDescent="0.3">
      <c r="A1" s="63" t="s">
        <v>62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5"/>
    </row>
    <row r="2" spans="1:15" ht="15.75" thickBot="1" x14ac:dyDescent="0.3">
      <c r="A2" s="37" t="s">
        <v>63</v>
      </c>
      <c r="B2" s="38" t="s">
        <v>64</v>
      </c>
      <c r="C2" s="38" t="s">
        <v>65</v>
      </c>
      <c r="D2" s="38" t="s">
        <v>66</v>
      </c>
      <c r="E2" s="38" t="s">
        <v>67</v>
      </c>
      <c r="F2" s="38" t="s">
        <v>68</v>
      </c>
      <c r="G2" s="38" t="s">
        <v>69</v>
      </c>
      <c r="H2" s="38" t="s">
        <v>70</v>
      </c>
      <c r="I2" s="38" t="s">
        <v>71</v>
      </c>
      <c r="J2" s="38" t="s">
        <v>72</v>
      </c>
      <c r="K2" s="38" t="s">
        <v>73</v>
      </c>
      <c r="L2" s="39" t="s">
        <v>74</v>
      </c>
      <c r="N2" s="1" t="s">
        <v>75</v>
      </c>
      <c r="O2" s="3"/>
    </row>
    <row r="3" spans="1:15" x14ac:dyDescent="0.25">
      <c r="A3" s="8" t="s">
        <v>76</v>
      </c>
      <c r="B3" s="40">
        <v>0.9</v>
      </c>
      <c r="C3" s="66">
        <f>B3*$O$22</f>
        <v>2.2859999999999998E-2</v>
      </c>
      <c r="D3" s="40">
        <v>1</v>
      </c>
      <c r="E3" s="40">
        <v>1</v>
      </c>
      <c r="F3" s="66">
        <f>E3*$O$23</f>
        <v>0.30480000000000002</v>
      </c>
      <c r="G3" s="40" t="s">
        <v>77</v>
      </c>
      <c r="H3" s="67">
        <f>$O$8/(PI()*C3^2/4)</f>
        <v>0.15381634566264385</v>
      </c>
      <c r="I3" s="67">
        <f>H3*C3/$O$6</f>
        <v>1465.1006924366825</v>
      </c>
      <c r="J3" s="66">
        <f>0.002/1000/C3</f>
        <v>8.7489063867016631E-5</v>
      </c>
      <c r="K3" s="67">
        <f>16/I3</f>
        <v>1.0920751100997432E-2</v>
      </c>
      <c r="L3" s="68">
        <f>K3*4*F3/C3</f>
        <v>0.58244005871986304</v>
      </c>
      <c r="N3" s="69" t="s">
        <v>3</v>
      </c>
      <c r="O3" s="14">
        <v>298</v>
      </c>
    </row>
    <row r="4" spans="1:15" x14ac:dyDescent="0.25">
      <c r="A4" s="15" t="s">
        <v>78</v>
      </c>
      <c r="B4" s="16">
        <v>0.9</v>
      </c>
      <c r="C4" s="70">
        <f t="shared" ref="C4:C19" si="0">B4*$O$22</f>
        <v>2.2859999999999998E-2</v>
      </c>
      <c r="D4" s="16">
        <v>1</v>
      </c>
      <c r="E4" s="16" t="s">
        <v>79</v>
      </c>
      <c r="F4" s="70" t="s">
        <v>79</v>
      </c>
      <c r="G4" s="16" t="s">
        <v>77</v>
      </c>
      <c r="H4" s="71">
        <f t="shared" ref="H4:H17" si="1">$O$8/(PI()*C4^2/4)</f>
        <v>0.15381634566264385</v>
      </c>
      <c r="I4" s="71">
        <f t="shared" ref="I4:I19" si="2">H4*C4/$O$6</f>
        <v>1465.1006924366825</v>
      </c>
      <c r="J4" s="70" t="s">
        <v>79</v>
      </c>
      <c r="K4" s="71" t="s">
        <v>79</v>
      </c>
      <c r="L4" s="72">
        <f>300/I5+(0.017*(1+3.5/B5^0.3))</f>
        <v>0.28317480649067917</v>
      </c>
      <c r="N4" s="15" t="s">
        <v>80</v>
      </c>
      <c r="O4" s="20">
        <v>1000</v>
      </c>
    </row>
    <row r="5" spans="1:15" x14ac:dyDescent="0.25">
      <c r="A5" s="15" t="s">
        <v>81</v>
      </c>
      <c r="B5" s="16">
        <v>0.9</v>
      </c>
      <c r="C5" s="70">
        <f t="shared" si="0"/>
        <v>2.2859999999999998E-2</v>
      </c>
      <c r="D5" s="16">
        <v>1</v>
      </c>
      <c r="E5" s="16" t="s">
        <v>79</v>
      </c>
      <c r="F5" s="70" t="s">
        <v>79</v>
      </c>
      <c r="G5" s="16" t="s">
        <v>77</v>
      </c>
      <c r="H5" s="71">
        <f t="shared" si="1"/>
        <v>0.15381634566264385</v>
      </c>
      <c r="I5" s="71">
        <f t="shared" si="2"/>
        <v>1465.1006924366825</v>
      </c>
      <c r="J5" s="70" t="s">
        <v>79</v>
      </c>
      <c r="K5" s="71" t="s">
        <v>79</v>
      </c>
      <c r="L5" s="72">
        <f>800/I6+(0.14*(1+4/B6^0.3))</f>
        <v>1.2640208336096581</v>
      </c>
      <c r="N5" s="15" t="s">
        <v>82</v>
      </c>
      <c r="O5" s="73">
        <f>2.4*10^-3</f>
        <v>2.3999999999999998E-3</v>
      </c>
    </row>
    <row r="6" spans="1:15" x14ac:dyDescent="0.25">
      <c r="A6" s="15" t="s">
        <v>83</v>
      </c>
      <c r="B6" s="16">
        <v>0.9</v>
      </c>
      <c r="C6" s="70">
        <f t="shared" si="0"/>
        <v>2.2859999999999998E-2</v>
      </c>
      <c r="D6" s="16">
        <v>1</v>
      </c>
      <c r="E6" s="16">
        <v>0.5</v>
      </c>
      <c r="F6" s="70">
        <f>E6*$O$23</f>
        <v>0.15240000000000001</v>
      </c>
      <c r="G6" s="16" t="s">
        <v>77</v>
      </c>
      <c r="H6" s="71">
        <f t="shared" si="1"/>
        <v>0.15381634566264385</v>
      </c>
      <c r="I6" s="71">
        <f t="shared" si="2"/>
        <v>1465.1006924366825</v>
      </c>
      <c r="J6" s="70">
        <f>0.002/1000/C6</f>
        <v>8.7489063867016631E-5</v>
      </c>
      <c r="K6" s="71">
        <f t="shared" ref="K6:K19" si="3">16/I6</f>
        <v>1.0920751100997432E-2</v>
      </c>
      <c r="L6" s="72">
        <f t="shared" ref="L6:L19" si="4">K6*4*F6/C6</f>
        <v>0.29122002935993152</v>
      </c>
      <c r="N6" s="15" t="s">
        <v>84</v>
      </c>
      <c r="O6" s="73">
        <f>O5/O4</f>
        <v>2.3999999999999999E-6</v>
      </c>
    </row>
    <row r="7" spans="1:15" x14ac:dyDescent="0.25">
      <c r="A7" s="15" t="s">
        <v>85</v>
      </c>
      <c r="B7" s="16">
        <v>0.9</v>
      </c>
      <c r="C7" s="70">
        <f t="shared" si="0"/>
        <v>2.2859999999999998E-2</v>
      </c>
      <c r="D7" s="16">
        <v>1</v>
      </c>
      <c r="E7" s="16">
        <v>0.5</v>
      </c>
      <c r="F7" s="70">
        <f>E7*$O$23</f>
        <v>0.15240000000000001</v>
      </c>
      <c r="G7" s="16" t="s">
        <v>77</v>
      </c>
      <c r="H7" s="71">
        <f t="shared" si="1"/>
        <v>0.15381634566264385</v>
      </c>
      <c r="I7" s="71">
        <f t="shared" si="2"/>
        <v>1465.1006924366825</v>
      </c>
      <c r="J7" s="70">
        <f t="shared" ref="J7:J19" si="5">0.002/1000/C7</f>
        <v>8.7489063867016631E-5</v>
      </c>
      <c r="K7" s="71">
        <f t="shared" si="3"/>
        <v>1.0920751100997432E-2</v>
      </c>
      <c r="L7" s="72">
        <f t="shared" si="4"/>
        <v>0.29122002935993152</v>
      </c>
      <c r="N7" s="15" t="s">
        <v>86</v>
      </c>
      <c r="O7" s="20">
        <v>1</v>
      </c>
    </row>
    <row r="8" spans="1:15" x14ac:dyDescent="0.25">
      <c r="A8" s="15" t="s">
        <v>87</v>
      </c>
      <c r="B8" s="16">
        <v>0.9</v>
      </c>
      <c r="C8" s="70">
        <f t="shared" si="0"/>
        <v>2.2859999999999998E-2</v>
      </c>
      <c r="D8" s="16">
        <v>1</v>
      </c>
      <c r="E8" s="16">
        <v>0.5</v>
      </c>
      <c r="F8" s="70">
        <f>E8*$O$23</f>
        <v>0.15240000000000001</v>
      </c>
      <c r="G8" s="16" t="s">
        <v>77</v>
      </c>
      <c r="H8" s="71">
        <f t="shared" si="1"/>
        <v>0.15381634566264385</v>
      </c>
      <c r="I8" s="71">
        <f t="shared" si="2"/>
        <v>1465.1006924366825</v>
      </c>
      <c r="J8" s="70">
        <f t="shared" si="5"/>
        <v>8.7489063867016631E-5</v>
      </c>
      <c r="K8" s="71">
        <f t="shared" si="3"/>
        <v>1.0920751100997432E-2</v>
      </c>
      <c r="L8" s="72">
        <f t="shared" si="4"/>
        <v>0.29122002935993152</v>
      </c>
      <c r="N8" s="15" t="s">
        <v>88</v>
      </c>
      <c r="O8" s="73">
        <f>O7/O16*O18/O20</f>
        <v>6.3131313131313131E-5</v>
      </c>
    </row>
    <row r="9" spans="1:15" ht="15.75" thickBot="1" x14ac:dyDescent="0.3">
      <c r="A9" s="15" t="s">
        <v>81</v>
      </c>
      <c r="B9" s="16">
        <v>0.9</v>
      </c>
      <c r="C9" s="70">
        <f t="shared" si="0"/>
        <v>2.2859999999999998E-2</v>
      </c>
      <c r="D9" s="16">
        <v>1</v>
      </c>
      <c r="E9" s="16" t="s">
        <v>79</v>
      </c>
      <c r="F9" s="70" t="s">
        <v>79</v>
      </c>
      <c r="G9" s="16" t="s">
        <v>77</v>
      </c>
      <c r="H9" s="71">
        <f t="shared" si="1"/>
        <v>0.15381634566264385</v>
      </c>
      <c r="I9" s="71">
        <f t="shared" si="2"/>
        <v>1465.1006924366825</v>
      </c>
      <c r="J9" s="70" t="s">
        <v>79</v>
      </c>
      <c r="K9" s="71" t="s">
        <v>79</v>
      </c>
      <c r="L9" s="72">
        <f>800/I10+(0.14*(1+4/B10^0.3))</f>
        <v>1.2640208336096581</v>
      </c>
      <c r="N9" s="46" t="s">
        <v>89</v>
      </c>
      <c r="O9" s="44">
        <f>O8*O4</f>
        <v>6.3131313131313135E-2</v>
      </c>
    </row>
    <row r="10" spans="1:15" ht="15.75" thickBot="1" x14ac:dyDescent="0.3">
      <c r="A10" s="15" t="s">
        <v>90</v>
      </c>
      <c r="B10" s="16">
        <v>0.9</v>
      </c>
      <c r="C10" s="70">
        <f t="shared" si="0"/>
        <v>2.2859999999999998E-2</v>
      </c>
      <c r="D10" s="16">
        <v>1</v>
      </c>
      <c r="E10" s="16" t="s">
        <v>79</v>
      </c>
      <c r="F10" s="70" t="s">
        <v>79</v>
      </c>
      <c r="G10" s="16" t="s">
        <v>77</v>
      </c>
      <c r="H10" s="71">
        <f t="shared" si="1"/>
        <v>0.15381634566264385</v>
      </c>
      <c r="I10" s="71">
        <f t="shared" si="2"/>
        <v>1465.1006924366825</v>
      </c>
      <c r="J10" s="70" t="s">
        <v>79</v>
      </c>
      <c r="K10" s="71" t="s">
        <v>79</v>
      </c>
      <c r="L10" s="72">
        <f>300/I11+(0.017*(1+3.5/B11^0.3))</f>
        <v>0.28317480649067917</v>
      </c>
    </row>
    <row r="11" spans="1:15" ht="15.75" thickBot="1" x14ac:dyDescent="0.3">
      <c r="A11" s="15" t="s">
        <v>91</v>
      </c>
      <c r="B11" s="16">
        <v>0.9</v>
      </c>
      <c r="C11" s="70">
        <f t="shared" si="0"/>
        <v>2.2859999999999998E-2</v>
      </c>
      <c r="D11" s="16">
        <v>1</v>
      </c>
      <c r="E11" s="16">
        <v>1</v>
      </c>
      <c r="F11" s="70">
        <f>E11*$O$23</f>
        <v>0.30480000000000002</v>
      </c>
      <c r="G11" s="16" t="s">
        <v>77</v>
      </c>
      <c r="H11" s="71">
        <f t="shared" si="1"/>
        <v>0.15381634566264385</v>
      </c>
      <c r="I11" s="71">
        <f t="shared" si="2"/>
        <v>1465.1006924366825</v>
      </c>
      <c r="J11" s="70">
        <f t="shared" si="5"/>
        <v>8.7489063867016631E-5</v>
      </c>
      <c r="K11" s="71">
        <f t="shared" si="3"/>
        <v>1.0920751100997432E-2</v>
      </c>
      <c r="L11" s="72">
        <f t="shared" si="4"/>
        <v>0.58244005871986304</v>
      </c>
      <c r="N11" s="74" t="s">
        <v>92</v>
      </c>
      <c r="O11" s="75"/>
    </row>
    <row r="12" spans="1:15" x14ac:dyDescent="0.25">
      <c r="A12" s="15" t="s">
        <v>87</v>
      </c>
      <c r="B12" s="16">
        <v>0.9</v>
      </c>
      <c r="C12" s="70">
        <f t="shared" si="0"/>
        <v>2.2859999999999998E-2</v>
      </c>
      <c r="D12" s="16">
        <v>1</v>
      </c>
      <c r="E12" s="16">
        <v>1</v>
      </c>
      <c r="F12" s="70">
        <f>E12*$O$23</f>
        <v>0.30480000000000002</v>
      </c>
      <c r="G12" s="16" t="s">
        <v>77</v>
      </c>
      <c r="H12" s="71">
        <f t="shared" si="1"/>
        <v>0.15381634566264385</v>
      </c>
      <c r="I12" s="71">
        <f t="shared" si="2"/>
        <v>1465.1006924366825</v>
      </c>
      <c r="J12" s="70">
        <f t="shared" si="5"/>
        <v>8.7489063867016631E-5</v>
      </c>
      <c r="K12" s="71">
        <f t="shared" si="3"/>
        <v>1.0920751100997432E-2</v>
      </c>
      <c r="L12" s="72">
        <f t="shared" si="4"/>
        <v>0.58244005871986304</v>
      </c>
      <c r="N12" s="13" t="s">
        <v>15</v>
      </c>
      <c r="O12" s="14">
        <v>8.3000000000000004E-2</v>
      </c>
    </row>
    <row r="13" spans="1:15" x14ac:dyDescent="0.25">
      <c r="A13" s="15" t="s">
        <v>81</v>
      </c>
      <c r="B13" s="16">
        <v>0.9</v>
      </c>
      <c r="C13" s="70">
        <f t="shared" si="0"/>
        <v>2.2859999999999998E-2</v>
      </c>
      <c r="D13" s="16">
        <v>1</v>
      </c>
      <c r="E13" s="16" t="s">
        <v>79</v>
      </c>
      <c r="F13" s="70" t="s">
        <v>79</v>
      </c>
      <c r="G13" s="16" t="s">
        <v>77</v>
      </c>
      <c r="H13" s="71">
        <f t="shared" si="1"/>
        <v>0.15381634566264385</v>
      </c>
      <c r="I13" s="71">
        <f t="shared" si="2"/>
        <v>1465.1006924366825</v>
      </c>
      <c r="J13" s="70" t="s">
        <v>79</v>
      </c>
      <c r="K13" s="71" t="s">
        <v>79</v>
      </c>
      <c r="L13" s="72">
        <f>800/I14+(0.14*(1+4/B14^0.3))</f>
        <v>1.2640208336096581</v>
      </c>
      <c r="N13" s="19" t="s">
        <v>17</v>
      </c>
      <c r="O13" s="20">
        <v>14.5</v>
      </c>
    </row>
    <row r="14" spans="1:15" x14ac:dyDescent="0.25">
      <c r="A14" s="15" t="s">
        <v>93</v>
      </c>
      <c r="B14" s="16">
        <v>0.9</v>
      </c>
      <c r="C14" s="70">
        <f t="shared" si="0"/>
        <v>2.2859999999999998E-2</v>
      </c>
      <c r="D14" s="16">
        <v>1</v>
      </c>
      <c r="E14" s="16">
        <v>1</v>
      </c>
      <c r="F14" s="70">
        <f>E14*$O$23</f>
        <v>0.30480000000000002</v>
      </c>
      <c r="G14" s="16" t="s">
        <v>77</v>
      </c>
      <c r="H14" s="71">
        <f t="shared" si="1"/>
        <v>0.15381634566264385</v>
      </c>
      <c r="I14" s="71">
        <f t="shared" si="2"/>
        <v>1465.1006924366825</v>
      </c>
      <c r="J14" s="70">
        <f t="shared" si="5"/>
        <v>8.7489063867016631E-5</v>
      </c>
      <c r="K14" s="71">
        <f t="shared" si="3"/>
        <v>1.0920751100997432E-2</v>
      </c>
      <c r="L14" s="72">
        <f t="shared" si="4"/>
        <v>0.58244005871986304</v>
      </c>
      <c r="N14" s="19" t="s">
        <v>36</v>
      </c>
      <c r="O14" s="20">
        <v>62</v>
      </c>
    </row>
    <row r="15" spans="1:15" x14ac:dyDescent="0.25">
      <c r="A15" s="15" t="s">
        <v>87</v>
      </c>
      <c r="B15" s="16">
        <v>0.9</v>
      </c>
      <c r="C15" s="70">
        <f t="shared" si="0"/>
        <v>2.2859999999999998E-2</v>
      </c>
      <c r="D15" s="16">
        <v>1</v>
      </c>
      <c r="E15" s="16">
        <v>1</v>
      </c>
      <c r="F15" s="70">
        <f>E15*$O$23</f>
        <v>0.30480000000000002</v>
      </c>
      <c r="G15" s="16" t="s">
        <v>77</v>
      </c>
      <c r="H15" s="71">
        <f t="shared" si="1"/>
        <v>0.15381634566264385</v>
      </c>
      <c r="I15" s="71">
        <f t="shared" si="2"/>
        <v>1465.1006924366825</v>
      </c>
      <c r="J15" s="70">
        <f t="shared" si="5"/>
        <v>8.7489063867016631E-5</v>
      </c>
      <c r="K15" s="71">
        <f t="shared" si="3"/>
        <v>1.0920751100997432E-2</v>
      </c>
      <c r="L15" s="72">
        <f t="shared" si="4"/>
        <v>0.58244005871986304</v>
      </c>
      <c r="N15" s="19" t="s">
        <v>94</v>
      </c>
      <c r="O15" s="20">
        <f>O14/O16*O18</f>
        <v>0.23484848484848486</v>
      </c>
    </row>
    <row r="16" spans="1:15" x14ac:dyDescent="0.25">
      <c r="A16" s="15" t="s">
        <v>81</v>
      </c>
      <c r="B16" s="16">
        <v>0.9</v>
      </c>
      <c r="C16" s="70">
        <f t="shared" si="0"/>
        <v>2.2859999999999998E-2</v>
      </c>
      <c r="D16" s="16">
        <v>1</v>
      </c>
      <c r="E16" s="16" t="s">
        <v>79</v>
      </c>
      <c r="F16" s="70" t="s">
        <v>79</v>
      </c>
      <c r="G16" s="16" t="s">
        <v>77</v>
      </c>
      <c r="H16" s="71">
        <f t="shared" si="1"/>
        <v>0.15381634566264385</v>
      </c>
      <c r="I16" s="71">
        <f t="shared" si="2"/>
        <v>1465.1006924366825</v>
      </c>
      <c r="J16" s="70" t="s">
        <v>79</v>
      </c>
      <c r="K16" s="71" t="s">
        <v>79</v>
      </c>
      <c r="L16" s="72">
        <f>800/I17+(0.14*(1+4/B17^0.3))</f>
        <v>1.2640208336096581</v>
      </c>
      <c r="N16" s="19" t="s">
        <v>19</v>
      </c>
      <c r="O16" s="20">
        <v>0.26400000000000001</v>
      </c>
    </row>
    <row r="17" spans="1:15" x14ac:dyDescent="0.25">
      <c r="A17" s="15" t="s">
        <v>87</v>
      </c>
      <c r="B17" s="16">
        <v>0.9</v>
      </c>
      <c r="C17" s="70">
        <f t="shared" si="0"/>
        <v>2.2859999999999998E-2</v>
      </c>
      <c r="D17" s="16">
        <v>1</v>
      </c>
      <c r="E17" s="16">
        <v>1</v>
      </c>
      <c r="F17" s="70">
        <f>E17*$O$23</f>
        <v>0.30480000000000002</v>
      </c>
      <c r="G17" s="16" t="s">
        <v>77</v>
      </c>
      <c r="H17" s="71">
        <f t="shared" si="1"/>
        <v>0.15381634566264385</v>
      </c>
      <c r="I17" s="71">
        <f t="shared" si="2"/>
        <v>1465.1006924366825</v>
      </c>
      <c r="J17" s="70">
        <f t="shared" si="5"/>
        <v>8.7489063867016631E-5</v>
      </c>
      <c r="K17" s="71">
        <f t="shared" si="3"/>
        <v>1.0920751100997432E-2</v>
      </c>
      <c r="L17" s="72">
        <f t="shared" si="4"/>
        <v>0.58244005871986304</v>
      </c>
      <c r="N17" s="19" t="s">
        <v>21</v>
      </c>
      <c r="O17" s="20">
        <f>O12*O13*O16</f>
        <v>0.31772400000000001</v>
      </c>
    </row>
    <row r="18" spans="1:15" x14ac:dyDescent="0.25">
      <c r="A18" s="15" t="s">
        <v>81</v>
      </c>
      <c r="B18" s="16">
        <v>0.9</v>
      </c>
      <c r="C18" s="70">
        <f t="shared" si="0"/>
        <v>2.2859999999999998E-2</v>
      </c>
      <c r="D18" s="16">
        <v>1</v>
      </c>
      <c r="E18" s="76" t="s">
        <v>79</v>
      </c>
      <c r="F18" s="70" t="s">
        <v>79</v>
      </c>
      <c r="G18" s="16" t="s">
        <v>77</v>
      </c>
      <c r="H18" s="71">
        <f>$O$8/(PI()*C18^2/4)</f>
        <v>0.15381634566264385</v>
      </c>
      <c r="I18" s="71">
        <f>H18*C18/$O$6</f>
        <v>1465.1006924366825</v>
      </c>
      <c r="J18" s="70" t="s">
        <v>79</v>
      </c>
      <c r="K18" s="71" t="s">
        <v>79</v>
      </c>
      <c r="L18" s="72">
        <f>800/I19+(0.14*(1+4/B19^0.3))</f>
        <v>1.2640208336096581</v>
      </c>
      <c r="N18" s="19" t="s">
        <v>95</v>
      </c>
      <c r="O18" s="73">
        <v>1E-3</v>
      </c>
    </row>
    <row r="19" spans="1:15" ht="15.75" thickBot="1" x14ac:dyDescent="0.3">
      <c r="A19" s="46" t="s">
        <v>96</v>
      </c>
      <c r="B19" s="77">
        <v>0.9</v>
      </c>
      <c r="C19" s="78">
        <f t="shared" si="0"/>
        <v>2.2859999999999998E-2</v>
      </c>
      <c r="D19" s="77">
        <v>1</v>
      </c>
      <c r="E19" s="79">
        <v>0.5</v>
      </c>
      <c r="F19" s="78">
        <f>E19*$O$23</f>
        <v>0.15240000000000001</v>
      </c>
      <c r="G19" s="77" t="s">
        <v>77</v>
      </c>
      <c r="H19" s="80">
        <f>$O$8/(PI()*C19^2/4)</f>
        <v>0.15381634566264385</v>
      </c>
      <c r="I19" s="80">
        <f t="shared" si="2"/>
        <v>1465.1006924366825</v>
      </c>
      <c r="J19" s="78">
        <f t="shared" si="5"/>
        <v>8.7489063867016631E-5</v>
      </c>
      <c r="K19" s="80">
        <f t="shared" si="3"/>
        <v>1.0920751100997432E-2</v>
      </c>
      <c r="L19" s="81">
        <f t="shared" si="4"/>
        <v>0.29122002935993152</v>
      </c>
      <c r="N19" s="19" t="s">
        <v>43</v>
      </c>
      <c r="O19" s="20">
        <v>44.01</v>
      </c>
    </row>
    <row r="20" spans="1:15" ht="15.75" thickBot="1" x14ac:dyDescent="0.3">
      <c r="E20" s="82"/>
      <c r="N20" s="19" t="s">
        <v>97</v>
      </c>
      <c r="O20" s="20">
        <v>60</v>
      </c>
    </row>
    <row r="21" spans="1:15" ht="15.75" thickBot="1" x14ac:dyDescent="0.3">
      <c r="A21" s="63" t="s">
        <v>98</v>
      </c>
      <c r="B21" s="64"/>
      <c r="C21" s="64"/>
      <c r="D21" s="64"/>
      <c r="E21" s="64"/>
      <c r="F21" s="64"/>
      <c r="G21" s="64"/>
      <c r="H21" s="64"/>
      <c r="I21" s="65"/>
      <c r="N21" s="19" t="s">
        <v>99</v>
      </c>
      <c r="O21" s="20">
        <v>9.8000000000000007</v>
      </c>
    </row>
    <row r="22" spans="1:15" ht="15.75" thickBot="1" x14ac:dyDescent="0.3">
      <c r="A22" s="37" t="s">
        <v>1</v>
      </c>
      <c r="B22" s="38" t="s">
        <v>100</v>
      </c>
      <c r="C22" s="38" t="s">
        <v>101</v>
      </c>
      <c r="D22" s="38" t="s">
        <v>102</v>
      </c>
      <c r="E22" s="38" t="s">
        <v>103</v>
      </c>
      <c r="F22" s="38" t="s">
        <v>104</v>
      </c>
      <c r="G22" s="38" t="s">
        <v>105</v>
      </c>
      <c r="H22" s="38" t="s">
        <v>106</v>
      </c>
      <c r="I22" s="39" t="s">
        <v>107</v>
      </c>
      <c r="N22" s="19" t="s">
        <v>108</v>
      </c>
      <c r="O22" s="20">
        <v>2.5399999999999999E-2</v>
      </c>
    </row>
    <row r="23" spans="1:15" x14ac:dyDescent="0.25">
      <c r="A23" s="8" t="s">
        <v>109</v>
      </c>
      <c r="B23" s="40">
        <v>30</v>
      </c>
      <c r="C23" s="66">
        <f>B23*$O$25</f>
        <v>206844</v>
      </c>
      <c r="D23" s="66">
        <f>C23/$O$4/$O$21</f>
        <v>21.106530612244896</v>
      </c>
      <c r="E23" s="40">
        <v>5</v>
      </c>
      <c r="F23" s="66">
        <f>E23*O23</f>
        <v>1.524</v>
      </c>
      <c r="G23" s="67" cm="1">
        <f t="array" ref="G23">SUM(L3:L19/(C3:C19)^4)</f>
        <v>42279094.794490069</v>
      </c>
      <c r="H23" s="67">
        <f>G23*8*O8^2/(O21*PI()^2)</f>
        <v>1.3937327068563441E-2</v>
      </c>
      <c r="I23" s="83">
        <f>H23+F23+D23</f>
        <v>22.644467939313458</v>
      </c>
      <c r="N23" s="19" t="s">
        <v>110</v>
      </c>
      <c r="O23" s="20">
        <v>0.30480000000000002</v>
      </c>
    </row>
    <row r="24" spans="1:15" x14ac:dyDescent="0.25">
      <c r="A24" s="15" t="s">
        <v>111</v>
      </c>
      <c r="B24" s="16">
        <v>35</v>
      </c>
      <c r="C24" s="70">
        <f t="shared" ref="C24:C27" si="6">B24*$O$25</f>
        <v>241318</v>
      </c>
      <c r="D24" s="70">
        <f>C24/$O$4/$O$21</f>
        <v>24.624285714285715</v>
      </c>
      <c r="E24" s="45"/>
      <c r="F24" s="45"/>
      <c r="G24" s="45"/>
      <c r="H24" s="45"/>
      <c r="I24" s="84">
        <f>H24+F24+D24</f>
        <v>24.624285714285715</v>
      </c>
      <c r="N24" s="85" t="s">
        <v>112</v>
      </c>
      <c r="O24" s="86">
        <f>O14/O16*O18*O4</f>
        <v>234.84848484848487</v>
      </c>
    </row>
    <row r="25" spans="1:15" ht="15.75" thickBot="1" x14ac:dyDescent="0.3">
      <c r="A25" s="15" t="s">
        <v>113</v>
      </c>
      <c r="B25" s="16">
        <v>35</v>
      </c>
      <c r="C25" s="70">
        <f t="shared" si="6"/>
        <v>241318</v>
      </c>
      <c r="D25" s="70">
        <f>C25/$O$4/$O$21</f>
        <v>24.624285714285715</v>
      </c>
      <c r="E25" s="45"/>
      <c r="F25" s="45"/>
      <c r="G25" s="45"/>
      <c r="H25" s="45"/>
      <c r="I25" s="84">
        <f t="shared" ref="I25:I27" si="7">H25+F25+D25</f>
        <v>24.624285714285715</v>
      </c>
      <c r="N25" s="43" t="s">
        <v>114</v>
      </c>
      <c r="O25" s="44">
        <v>6894.8</v>
      </c>
    </row>
    <row r="26" spans="1:15" ht="15.75" thickBot="1" x14ac:dyDescent="0.3">
      <c r="A26" s="15" t="s">
        <v>115</v>
      </c>
      <c r="B26" s="16">
        <v>20</v>
      </c>
      <c r="C26" s="70">
        <f t="shared" si="6"/>
        <v>137896</v>
      </c>
      <c r="D26" s="70">
        <f>C26/$O$4/$O$21</f>
        <v>14.071020408163262</v>
      </c>
      <c r="E26" s="45"/>
      <c r="F26" s="45"/>
      <c r="G26" s="45"/>
      <c r="H26" s="45"/>
      <c r="I26" s="84">
        <f t="shared" si="7"/>
        <v>14.071020408163262</v>
      </c>
    </row>
    <row r="27" spans="1:15" ht="15.75" thickBot="1" x14ac:dyDescent="0.3">
      <c r="A27" s="46" t="s">
        <v>116</v>
      </c>
      <c r="B27" s="77">
        <v>2</v>
      </c>
      <c r="C27" s="78">
        <f t="shared" si="6"/>
        <v>13789.6</v>
      </c>
      <c r="D27" s="78">
        <f>C27/$O$4/$O$21</f>
        <v>1.4071020408163264</v>
      </c>
      <c r="E27" s="47"/>
      <c r="F27" s="47"/>
      <c r="G27" s="47"/>
      <c r="H27" s="47"/>
      <c r="I27" s="87">
        <f t="shared" si="7"/>
        <v>1.4071020408163264</v>
      </c>
      <c r="N27" s="50" t="s">
        <v>46</v>
      </c>
    </row>
    <row r="28" spans="1:15" ht="15.75" thickBot="1" x14ac:dyDescent="0.3">
      <c r="N28" s="51" t="s">
        <v>47</v>
      </c>
    </row>
    <row r="29" spans="1:15" ht="15.75" thickBot="1" x14ac:dyDescent="0.3">
      <c r="A29" s="63" t="s">
        <v>117</v>
      </c>
      <c r="B29" s="64"/>
      <c r="C29" s="64"/>
      <c r="D29" s="64"/>
      <c r="E29" s="64"/>
      <c r="F29" s="64"/>
      <c r="G29" s="65"/>
      <c r="N29" s="55" t="s">
        <v>49</v>
      </c>
    </row>
    <row r="30" spans="1:15" ht="15.75" thickBot="1" x14ac:dyDescent="0.3">
      <c r="A30" s="88" t="s">
        <v>118</v>
      </c>
      <c r="B30" s="89" t="s">
        <v>119</v>
      </c>
      <c r="C30" s="89" t="s">
        <v>120</v>
      </c>
      <c r="D30" s="89" t="s">
        <v>121</v>
      </c>
      <c r="E30" s="89" t="s">
        <v>122</v>
      </c>
      <c r="F30" s="89" t="s">
        <v>123</v>
      </c>
      <c r="G30" s="90" t="s">
        <v>124</v>
      </c>
      <c r="N30" s="56" t="s">
        <v>57</v>
      </c>
    </row>
    <row r="31" spans="1:15" x14ac:dyDescent="0.25">
      <c r="A31" s="13" t="s">
        <v>32</v>
      </c>
      <c r="B31" s="11">
        <v>0.7</v>
      </c>
      <c r="C31" s="10">
        <f>SUM(I23:I27)*O21*O4*O8/B31</f>
        <v>77.221986454299412</v>
      </c>
      <c r="D31" s="11">
        <f>O9</f>
        <v>6.3131313131313135E-2</v>
      </c>
      <c r="E31" s="91">
        <f>C31/D31</f>
        <v>1223.1962654361025</v>
      </c>
      <c r="F31" s="92">
        <f>C31/1000/D31/3600</f>
        <v>3.3977674039891738E-4</v>
      </c>
      <c r="G31" s="93">
        <f>F31*O24</f>
        <v>7.979605266944273E-2</v>
      </c>
    </row>
    <row r="32" spans="1:15" ht="15.75" thickBot="1" x14ac:dyDescent="0.3">
      <c r="A32" s="43" t="s">
        <v>125</v>
      </c>
      <c r="B32" s="79">
        <v>0.7</v>
      </c>
      <c r="C32" s="79">
        <f>240*10/B32*0.25</f>
        <v>857.14285714285722</v>
      </c>
      <c r="D32" s="79">
        <f>O9</f>
        <v>6.3131313131313135E-2</v>
      </c>
      <c r="E32" s="94">
        <f>C32/D32</f>
        <v>13577.142857142857</v>
      </c>
      <c r="F32" s="80">
        <f>C32/1000/D32/3600</f>
        <v>3.7714285714285714E-3</v>
      </c>
      <c r="G32" s="87">
        <f>F32*O24</f>
        <v>0.88571428571428579</v>
      </c>
    </row>
    <row r="34" spans="7:7" x14ac:dyDescent="0.25">
      <c r="G34" s="95"/>
    </row>
  </sheetData>
  <mergeCells count="5">
    <mergeCell ref="A1:L1"/>
    <mergeCell ref="N2:O2"/>
    <mergeCell ref="N11:O11"/>
    <mergeCell ref="A21:I21"/>
    <mergeCell ref="A29:G2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8CF02-C116-4F31-ABC4-9193538DD42C}">
  <dimension ref="A1:O21"/>
  <sheetViews>
    <sheetView workbookViewId="0">
      <selection activeCell="G36" sqref="G36"/>
    </sheetView>
  </sheetViews>
  <sheetFormatPr defaultRowHeight="15" x14ac:dyDescent="0.25"/>
  <cols>
    <col min="1" max="1" width="21.140625" bestFit="1" customWidth="1"/>
    <col min="2" max="3" width="22.28515625" bestFit="1" customWidth="1"/>
    <col min="4" max="4" width="16.7109375" bestFit="1" customWidth="1"/>
    <col min="5" max="5" width="20.42578125" bestFit="1" customWidth="1"/>
    <col min="6" max="6" width="22.28515625" bestFit="1" customWidth="1"/>
    <col min="7" max="7" width="23.5703125" bestFit="1" customWidth="1"/>
    <col min="8" max="8" width="32" bestFit="1" customWidth="1"/>
    <col min="9" max="9" width="37.5703125" bestFit="1" customWidth="1"/>
    <col min="10" max="10" width="13.5703125" bestFit="1" customWidth="1"/>
    <col min="11" max="11" width="7.5703125" bestFit="1" customWidth="1"/>
    <col min="12" max="12" width="14.5703125" bestFit="1" customWidth="1"/>
    <col min="14" max="14" width="24.5703125" bestFit="1" customWidth="1"/>
    <col min="18" max="18" width="8.7109375" customWidth="1"/>
  </cols>
  <sheetData>
    <row r="1" spans="1:15" ht="15.7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5" ht="15.75" thickBot="1" x14ac:dyDescent="0.3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7" t="s">
        <v>12</v>
      </c>
      <c r="N2" s="1" t="s">
        <v>13</v>
      </c>
      <c r="O2" s="3"/>
    </row>
    <row r="3" spans="1:15" x14ac:dyDescent="0.25">
      <c r="A3" s="8" t="s">
        <v>14</v>
      </c>
      <c r="B3" s="9">
        <v>15</v>
      </c>
      <c r="C3" s="9">
        <v>298</v>
      </c>
      <c r="D3" s="9">
        <f>ROUNDUP(O10*1.18,0)</f>
        <v>183</v>
      </c>
      <c r="E3" s="10">
        <f>D3/$O$5/1000</f>
        <v>0.69318181818181812</v>
      </c>
      <c r="F3" s="10">
        <f>B3*$O$11/$O$6/C3*$O$5*1000</f>
        <v>1211.2323396804065</v>
      </c>
      <c r="G3" s="10">
        <f>B3*$O$12/$O$6/C3*$O$5*1000</f>
        <v>1840.6883725598996</v>
      </c>
      <c r="H3" s="10">
        <f>B3*D3/($O$6*C3)</f>
        <v>28.991858959263872</v>
      </c>
      <c r="I3" s="10">
        <f>E3</f>
        <v>0.69318181818181812</v>
      </c>
      <c r="J3" s="10">
        <f>I3*F3</f>
        <v>839.60423546028176</v>
      </c>
      <c r="K3" s="11">
        <v>0</v>
      </c>
      <c r="L3" s="12">
        <v>0</v>
      </c>
      <c r="N3" s="13" t="s">
        <v>15</v>
      </c>
      <c r="O3" s="14">
        <v>8.3000000000000004E-2</v>
      </c>
    </row>
    <row r="4" spans="1:15" x14ac:dyDescent="0.25">
      <c r="A4" s="15" t="s">
        <v>16</v>
      </c>
      <c r="B4" s="16">
        <v>15</v>
      </c>
      <c r="C4" s="16">
        <v>298</v>
      </c>
      <c r="D4" s="16">
        <f>D3</f>
        <v>183</v>
      </c>
      <c r="E4" s="17">
        <f t="shared" ref="E4:E5" si="0">D4/$O$5/1000</f>
        <v>0.69318181818181812</v>
      </c>
      <c r="F4" s="17">
        <f>B4*$O$11/$O$6/C4*$O$5*1000</f>
        <v>1211.2323396804065</v>
      </c>
      <c r="G4" s="17">
        <f>B4*$O$12/$O$6/C4*$O$5*1000</f>
        <v>1840.6883725598996</v>
      </c>
      <c r="H4" s="10">
        <f>B4*D4/($O$6*C4)</f>
        <v>28.991858959263872</v>
      </c>
      <c r="I4" s="17">
        <f>(D4-E8)/O5/1000</f>
        <v>0</v>
      </c>
      <c r="J4" s="17">
        <f>I4*F4</f>
        <v>0</v>
      </c>
      <c r="K4" s="17">
        <f>E4-I4</f>
        <v>0.69318181818181812</v>
      </c>
      <c r="L4" s="18">
        <f>K4*G4</f>
        <v>1275.9317127972031</v>
      </c>
      <c r="N4" s="19" t="s">
        <v>17</v>
      </c>
      <c r="O4" s="20">
        <v>14.5</v>
      </c>
    </row>
    <row r="5" spans="1:15" ht="15.75" thickBot="1" x14ac:dyDescent="0.3">
      <c r="A5" s="21" t="s">
        <v>18</v>
      </c>
      <c r="B5" s="22">
        <v>40</v>
      </c>
      <c r="C5" s="22">
        <v>298</v>
      </c>
      <c r="D5" s="22">
        <f>D3</f>
        <v>183</v>
      </c>
      <c r="E5" s="23">
        <f t="shared" si="0"/>
        <v>0.69318181818181812</v>
      </c>
      <c r="F5" s="23">
        <f>B5*$O$11/$O$6/C5*$O$5*1000</f>
        <v>3229.9529058144171</v>
      </c>
      <c r="G5" s="23">
        <f>B5*$O$12/$O$6/C5*$O$5*1000</f>
        <v>4908.5023268263985</v>
      </c>
      <c r="H5" s="24">
        <f>B5*D5/($O$6*C5)</f>
        <v>77.311623891370317</v>
      </c>
      <c r="I5" s="23">
        <f>J5/F5</f>
        <v>0</v>
      </c>
      <c r="J5" s="23">
        <f>J4</f>
        <v>0</v>
      </c>
      <c r="K5" s="23">
        <f>E5-I5</f>
        <v>0.69318181818181812</v>
      </c>
      <c r="L5" s="25">
        <f>G5*K5</f>
        <v>3402.4845674592079</v>
      </c>
      <c r="N5" s="19" t="s">
        <v>19</v>
      </c>
      <c r="O5" s="20">
        <v>0.26400000000000001</v>
      </c>
    </row>
    <row r="6" spans="1:15" ht="15.75" thickBot="1" x14ac:dyDescent="0.3">
      <c r="A6" s="26" t="s">
        <v>20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8"/>
      <c r="N6" s="19" t="s">
        <v>21</v>
      </c>
      <c r="O6" s="20">
        <f>O3*O4*O5</f>
        <v>0.31772400000000001</v>
      </c>
    </row>
    <row r="7" spans="1:15" ht="15.75" thickBot="1" x14ac:dyDescent="0.3">
      <c r="A7" s="29" t="s">
        <v>1</v>
      </c>
      <c r="B7" s="5" t="s">
        <v>22</v>
      </c>
      <c r="C7" s="6" t="s">
        <v>23</v>
      </c>
      <c r="D7" s="6" t="s">
        <v>24</v>
      </c>
      <c r="E7" s="6" t="s">
        <v>25</v>
      </c>
      <c r="F7" s="6" t="s">
        <v>26</v>
      </c>
      <c r="G7" s="6" t="s">
        <v>27</v>
      </c>
      <c r="H7" s="6" t="s">
        <v>28</v>
      </c>
      <c r="I7" s="6" t="s">
        <v>29</v>
      </c>
      <c r="J7" s="6" t="s">
        <v>30</v>
      </c>
      <c r="K7" s="6"/>
      <c r="L7" s="7"/>
      <c r="N7" s="19" t="s">
        <v>31</v>
      </c>
      <c r="O7" s="20">
        <v>1.96</v>
      </c>
    </row>
    <row r="8" spans="1:15" ht="15.75" thickBot="1" x14ac:dyDescent="0.3">
      <c r="A8" s="30" t="s">
        <v>32</v>
      </c>
      <c r="B8" s="31">
        <v>10</v>
      </c>
      <c r="C8" s="31">
        <v>20</v>
      </c>
      <c r="D8" s="32">
        <f>B8*C8</f>
        <v>200</v>
      </c>
      <c r="E8" s="33">
        <f>IF((D3-D8)&lt;=0,D3,D8)</f>
        <v>183</v>
      </c>
      <c r="F8" s="33">
        <f>IF((D8-D3)&gt;=0,D8-D3,0)</f>
        <v>17</v>
      </c>
      <c r="G8" s="33">
        <f>D8-F8</f>
        <v>183</v>
      </c>
      <c r="H8" s="33">
        <f>G8/O5/1000*G4</f>
        <v>1275.9317127972031</v>
      </c>
      <c r="I8" s="34">
        <f>F8/O5/1000*G4</f>
        <v>118.5291755057511</v>
      </c>
      <c r="J8" s="34">
        <f>D8/O5/1000*G4</f>
        <v>1394.4608883029539</v>
      </c>
      <c r="K8" s="35"/>
      <c r="L8" s="36"/>
      <c r="N8" s="19" t="s">
        <v>33</v>
      </c>
      <c r="O8" s="20">
        <v>1000</v>
      </c>
    </row>
    <row r="9" spans="1:15" ht="15.75" thickBot="1" x14ac:dyDescent="0.3">
      <c r="N9" s="19" t="s">
        <v>34</v>
      </c>
      <c r="O9" s="20">
        <v>1</v>
      </c>
    </row>
    <row r="10" spans="1:15" ht="15.75" thickBot="1" x14ac:dyDescent="0.3">
      <c r="A10" s="26" t="s">
        <v>35</v>
      </c>
      <c r="B10" s="27"/>
      <c r="C10" s="27"/>
      <c r="D10" s="27"/>
      <c r="E10" s="28"/>
      <c r="N10" s="19" t="s">
        <v>36</v>
      </c>
      <c r="O10" s="20">
        <f>5*31</f>
        <v>155</v>
      </c>
    </row>
    <row r="11" spans="1:15" ht="15.75" thickBot="1" x14ac:dyDescent="0.3">
      <c r="A11" s="37" t="s">
        <v>1</v>
      </c>
      <c r="B11" s="38" t="s">
        <v>37</v>
      </c>
      <c r="C11" s="38" t="s">
        <v>38</v>
      </c>
      <c r="D11" s="38" t="s">
        <v>39</v>
      </c>
      <c r="E11" s="39" t="s">
        <v>40</v>
      </c>
      <c r="N11" s="19" t="s">
        <v>41</v>
      </c>
      <c r="O11" s="20">
        <v>28.96</v>
      </c>
    </row>
    <row r="12" spans="1:15" ht="15.75" thickBot="1" x14ac:dyDescent="0.3">
      <c r="A12" s="8" t="s">
        <v>42</v>
      </c>
      <c r="B12" s="40">
        <v>0.88</v>
      </c>
      <c r="C12" s="40">
        <f>B12*$O$7</f>
        <v>1.7247999999999999</v>
      </c>
      <c r="D12" s="41"/>
      <c r="E12" s="42"/>
      <c r="N12" s="43" t="s">
        <v>43</v>
      </c>
      <c r="O12" s="44">
        <v>44.01</v>
      </c>
    </row>
    <row r="13" spans="1:15" ht="15.75" thickBot="1" x14ac:dyDescent="0.3">
      <c r="A13" s="15" t="s">
        <v>44</v>
      </c>
      <c r="B13" s="16">
        <v>2.5</v>
      </c>
      <c r="C13" s="16">
        <f>B13*$O$7</f>
        <v>4.9000000000000004</v>
      </c>
      <c r="D13" s="45"/>
      <c r="E13" s="20"/>
    </row>
    <row r="14" spans="1:15" ht="15.75" thickBot="1" x14ac:dyDescent="0.3">
      <c r="A14" s="46" t="s">
        <v>45</v>
      </c>
      <c r="B14" s="47"/>
      <c r="C14" s="47"/>
      <c r="D14" s="48">
        <f>C13-C12</f>
        <v>3.1752000000000002</v>
      </c>
      <c r="E14" s="49">
        <f>D14*O10/O5</f>
        <v>1864.227272727273</v>
      </c>
      <c r="N14" s="50" t="s">
        <v>46</v>
      </c>
    </row>
    <row r="15" spans="1:15" ht="15.75" thickBot="1" x14ac:dyDescent="0.3">
      <c r="N15" s="51" t="s">
        <v>47</v>
      </c>
    </row>
    <row r="16" spans="1:15" ht="15.75" thickBot="1" x14ac:dyDescent="0.3">
      <c r="A16" s="52" t="s">
        <v>48</v>
      </c>
      <c r="B16" s="53"/>
      <c r="C16" s="53"/>
      <c r="D16" s="53"/>
      <c r="E16" s="53"/>
      <c r="F16" s="53"/>
      <c r="G16" s="54"/>
      <c r="N16" s="55" t="s">
        <v>49</v>
      </c>
    </row>
    <row r="17" spans="1:14" ht="15.75" thickBot="1" x14ac:dyDescent="0.3">
      <c r="A17" s="37" t="s">
        <v>50</v>
      </c>
      <c r="B17" s="38" t="s">
        <v>51</v>
      </c>
      <c r="C17" s="38" t="s">
        <v>52</v>
      </c>
      <c r="D17" s="38" t="s">
        <v>53</v>
      </c>
      <c r="E17" s="38" t="s">
        <v>54</v>
      </c>
      <c r="F17" s="38" t="s">
        <v>55</v>
      </c>
      <c r="G17" s="39" t="s">
        <v>56</v>
      </c>
      <c r="N17" s="56" t="s">
        <v>57</v>
      </c>
    </row>
    <row r="18" spans="1:14" x14ac:dyDescent="0.25">
      <c r="A18" s="8" t="s">
        <v>58</v>
      </c>
      <c r="B18" s="57">
        <f>J8+(L5-L4)</f>
        <v>3521.0137429649585</v>
      </c>
      <c r="C18" s="57">
        <f>B18/$O$8</f>
        <v>3.5210137429649584</v>
      </c>
      <c r="D18" s="57">
        <f>I8</f>
        <v>118.5291755057511</v>
      </c>
      <c r="E18" s="57">
        <f>D18/$O$8</f>
        <v>0.11852917550575109</v>
      </c>
      <c r="F18" s="57">
        <v>0</v>
      </c>
      <c r="G18" s="58">
        <f>F18/$O$8</f>
        <v>0</v>
      </c>
    </row>
    <row r="19" spans="1:14" x14ac:dyDescent="0.25">
      <c r="A19" s="15" t="s">
        <v>59</v>
      </c>
      <c r="B19" s="17">
        <f>E14</f>
        <v>1864.227272727273</v>
      </c>
      <c r="C19" s="17">
        <f t="shared" ref="C19:C21" si="1">B19/$O$8</f>
        <v>1.8642272727272731</v>
      </c>
      <c r="D19" s="17">
        <v>0</v>
      </c>
      <c r="E19" s="17">
        <f t="shared" ref="E19:E21" si="2">D19/$O$8</f>
        <v>0</v>
      </c>
      <c r="F19" s="17">
        <f>B19</f>
        <v>1864.227272727273</v>
      </c>
      <c r="G19" s="59">
        <f t="shared" ref="G19:G20" si="3">F19/$O$8</f>
        <v>1.8642272727272731</v>
      </c>
    </row>
    <row r="20" spans="1:14" ht="15.75" thickBot="1" x14ac:dyDescent="0.3">
      <c r="A20" s="46" t="s">
        <v>60</v>
      </c>
      <c r="B20" s="60">
        <f>0</f>
        <v>0</v>
      </c>
      <c r="C20" s="60">
        <f t="shared" si="1"/>
        <v>0</v>
      </c>
      <c r="D20" s="60">
        <f>L5</f>
        <v>3402.4845674592079</v>
      </c>
      <c r="E20" s="60">
        <f t="shared" si="2"/>
        <v>3.4024845674592079</v>
      </c>
      <c r="F20" s="60">
        <v>0</v>
      </c>
      <c r="G20" s="61">
        <f t="shared" si="3"/>
        <v>0</v>
      </c>
    </row>
    <row r="21" spans="1:14" ht="15.75" thickBot="1" x14ac:dyDescent="0.3">
      <c r="A21" s="30" t="s">
        <v>61</v>
      </c>
      <c r="B21" s="34">
        <f>SUM(B18:B20)</f>
        <v>5385.2410156922315</v>
      </c>
      <c r="C21" s="34">
        <f t="shared" si="1"/>
        <v>5.3852410156922312</v>
      </c>
      <c r="D21" s="34">
        <f>SUM(D18:D20)</f>
        <v>3521.013742964959</v>
      </c>
      <c r="E21" s="34">
        <f t="shared" si="2"/>
        <v>3.5210137429649588</v>
      </c>
      <c r="F21" s="34">
        <f>SUM(F18:F20)</f>
        <v>1864.227272727273</v>
      </c>
      <c r="G21" s="62">
        <f>SUM(G18:G20)</f>
        <v>1.8642272727272731</v>
      </c>
    </row>
  </sheetData>
  <mergeCells count="5">
    <mergeCell ref="A1:L1"/>
    <mergeCell ref="N2:O2"/>
    <mergeCell ref="A6:L6"/>
    <mergeCell ref="A10:E10"/>
    <mergeCell ref="A16:G1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2F32E-3A66-46EB-B156-250FA6A2FA99}">
  <dimension ref="A1:O34"/>
  <sheetViews>
    <sheetView workbookViewId="0">
      <selection activeCell="G34" sqref="G34"/>
    </sheetView>
  </sheetViews>
  <sheetFormatPr defaultRowHeight="15" x14ac:dyDescent="0.25"/>
  <cols>
    <col min="1" max="1" width="30.28515625" bestFit="1" customWidth="1"/>
    <col min="2" max="2" width="22.85546875" bestFit="1" customWidth="1"/>
    <col min="3" max="3" width="22.42578125" bestFit="1" customWidth="1"/>
    <col min="4" max="4" width="26.28515625" bestFit="1" customWidth="1"/>
    <col min="5" max="5" width="29" bestFit="1" customWidth="1"/>
    <col min="6" max="6" width="26.28515625" bestFit="1" customWidth="1"/>
    <col min="7" max="7" width="31.42578125" bestFit="1" customWidth="1"/>
    <col min="8" max="8" width="27.7109375" bestFit="1" customWidth="1"/>
    <col min="9" max="9" width="17.7109375" bestFit="1" customWidth="1"/>
    <col min="10" max="10" width="23.85546875" bestFit="1" customWidth="1"/>
    <col min="11" max="11" width="14.28515625" bestFit="1" customWidth="1"/>
    <col min="12" max="12" width="15.28515625" bestFit="1" customWidth="1"/>
    <col min="14" max="14" width="24.42578125" bestFit="1" customWidth="1"/>
  </cols>
  <sheetData>
    <row r="1" spans="1:15" ht="15.75" thickBot="1" x14ac:dyDescent="0.3">
      <c r="A1" s="63" t="s">
        <v>62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5"/>
    </row>
    <row r="2" spans="1:15" ht="15.75" thickBot="1" x14ac:dyDescent="0.3">
      <c r="A2" s="37" t="s">
        <v>63</v>
      </c>
      <c r="B2" s="38" t="s">
        <v>64</v>
      </c>
      <c r="C2" s="38" t="s">
        <v>65</v>
      </c>
      <c r="D2" s="38" t="s">
        <v>66</v>
      </c>
      <c r="E2" s="38" t="s">
        <v>67</v>
      </c>
      <c r="F2" s="38" t="s">
        <v>68</v>
      </c>
      <c r="G2" s="38" t="s">
        <v>69</v>
      </c>
      <c r="H2" s="38" t="s">
        <v>70</v>
      </c>
      <c r="I2" s="38" t="s">
        <v>71</v>
      </c>
      <c r="J2" s="38" t="s">
        <v>72</v>
      </c>
      <c r="K2" s="38" t="s">
        <v>73</v>
      </c>
      <c r="L2" s="39" t="s">
        <v>74</v>
      </c>
      <c r="N2" s="1" t="s">
        <v>75</v>
      </c>
      <c r="O2" s="3"/>
    </row>
    <row r="3" spans="1:15" x14ac:dyDescent="0.25">
      <c r="A3" s="8" t="s">
        <v>76</v>
      </c>
      <c r="B3" s="40">
        <v>0.9</v>
      </c>
      <c r="C3" s="66">
        <f>B3*$O$22</f>
        <v>2.2859999999999998E-2</v>
      </c>
      <c r="D3" s="40">
        <v>1</v>
      </c>
      <c r="E3" s="40">
        <v>1</v>
      </c>
      <c r="F3" s="66">
        <f>E3*$O$23</f>
        <v>0.30480000000000002</v>
      </c>
      <c r="G3" s="40" t="s">
        <v>77</v>
      </c>
      <c r="H3" s="67">
        <f>$O$8/(PI()*C3^2/4)</f>
        <v>0.15381634566264385</v>
      </c>
      <c r="I3" s="67">
        <f>H3*C3/$O$6</f>
        <v>1465.1006924366825</v>
      </c>
      <c r="J3" s="66">
        <f>0.002/1000/C3</f>
        <v>8.7489063867016631E-5</v>
      </c>
      <c r="K3" s="67">
        <f>16/I3</f>
        <v>1.0920751100997432E-2</v>
      </c>
      <c r="L3" s="68">
        <f>K3*4*F3/C3</f>
        <v>0.58244005871986304</v>
      </c>
      <c r="N3" s="69" t="s">
        <v>3</v>
      </c>
      <c r="O3" s="14">
        <v>298</v>
      </c>
    </row>
    <row r="4" spans="1:15" x14ac:dyDescent="0.25">
      <c r="A4" s="15" t="s">
        <v>78</v>
      </c>
      <c r="B4" s="16">
        <v>0.9</v>
      </c>
      <c r="C4" s="70">
        <f t="shared" ref="C4:C19" si="0">B4*$O$22</f>
        <v>2.2859999999999998E-2</v>
      </c>
      <c r="D4" s="16">
        <v>1</v>
      </c>
      <c r="E4" s="16" t="s">
        <v>79</v>
      </c>
      <c r="F4" s="70" t="s">
        <v>79</v>
      </c>
      <c r="G4" s="16" t="s">
        <v>77</v>
      </c>
      <c r="H4" s="71">
        <f t="shared" ref="H4:H17" si="1">$O$8/(PI()*C4^2/4)</f>
        <v>0.15381634566264385</v>
      </c>
      <c r="I4" s="71">
        <f t="shared" ref="I4:I19" si="2">H4*C4/$O$6</f>
        <v>1465.1006924366825</v>
      </c>
      <c r="J4" s="70" t="s">
        <v>79</v>
      </c>
      <c r="K4" s="71" t="s">
        <v>79</v>
      </c>
      <c r="L4" s="72">
        <f>300/I5+(0.017*(1+3.5/B5^0.3))</f>
        <v>0.28317480649067917</v>
      </c>
      <c r="N4" s="15" t="s">
        <v>80</v>
      </c>
      <c r="O4" s="20">
        <v>1000</v>
      </c>
    </row>
    <row r="5" spans="1:15" x14ac:dyDescent="0.25">
      <c r="A5" s="15" t="s">
        <v>81</v>
      </c>
      <c r="B5" s="16">
        <v>0.9</v>
      </c>
      <c r="C5" s="70">
        <f t="shared" si="0"/>
        <v>2.2859999999999998E-2</v>
      </c>
      <c r="D5" s="16">
        <v>1</v>
      </c>
      <c r="E5" s="16" t="s">
        <v>79</v>
      </c>
      <c r="F5" s="70" t="s">
        <v>79</v>
      </c>
      <c r="G5" s="16" t="s">
        <v>77</v>
      </c>
      <c r="H5" s="71">
        <f t="shared" si="1"/>
        <v>0.15381634566264385</v>
      </c>
      <c r="I5" s="71">
        <f t="shared" si="2"/>
        <v>1465.1006924366825</v>
      </c>
      <c r="J5" s="70" t="s">
        <v>79</v>
      </c>
      <c r="K5" s="71" t="s">
        <v>79</v>
      </c>
      <c r="L5" s="72">
        <f>800/I6+(0.14*(1+4/B6^0.3))</f>
        <v>1.2640208336096581</v>
      </c>
      <c r="N5" s="15" t="s">
        <v>82</v>
      </c>
      <c r="O5" s="73">
        <f>2.4*10^-3</f>
        <v>2.3999999999999998E-3</v>
      </c>
    </row>
    <row r="6" spans="1:15" x14ac:dyDescent="0.25">
      <c r="A6" s="15" t="s">
        <v>83</v>
      </c>
      <c r="B6" s="16">
        <v>0.9</v>
      </c>
      <c r="C6" s="70">
        <f t="shared" si="0"/>
        <v>2.2859999999999998E-2</v>
      </c>
      <c r="D6" s="16">
        <v>1</v>
      </c>
      <c r="E6" s="16">
        <v>0.5</v>
      </c>
      <c r="F6" s="70">
        <f>E6*$O$23</f>
        <v>0.15240000000000001</v>
      </c>
      <c r="G6" s="16" t="s">
        <v>77</v>
      </c>
      <c r="H6" s="71">
        <f t="shared" si="1"/>
        <v>0.15381634566264385</v>
      </c>
      <c r="I6" s="71">
        <f t="shared" si="2"/>
        <v>1465.1006924366825</v>
      </c>
      <c r="J6" s="70">
        <f>0.002/1000/C6</f>
        <v>8.7489063867016631E-5</v>
      </c>
      <c r="K6" s="71">
        <f t="shared" ref="K6:K19" si="3">16/I6</f>
        <v>1.0920751100997432E-2</v>
      </c>
      <c r="L6" s="72">
        <f t="shared" ref="L6:L19" si="4">K6*4*F6/C6</f>
        <v>0.29122002935993152</v>
      </c>
      <c r="N6" s="15" t="s">
        <v>84</v>
      </c>
      <c r="O6" s="73">
        <f>O5/O4</f>
        <v>2.3999999999999999E-6</v>
      </c>
    </row>
    <row r="7" spans="1:15" x14ac:dyDescent="0.25">
      <c r="A7" s="15" t="s">
        <v>85</v>
      </c>
      <c r="B7" s="16">
        <v>0.9</v>
      </c>
      <c r="C7" s="70">
        <f t="shared" si="0"/>
        <v>2.2859999999999998E-2</v>
      </c>
      <c r="D7" s="16">
        <v>1</v>
      </c>
      <c r="E7" s="16">
        <v>0.5</v>
      </c>
      <c r="F7" s="70">
        <f>E7*$O$23</f>
        <v>0.15240000000000001</v>
      </c>
      <c r="G7" s="16" t="s">
        <v>77</v>
      </c>
      <c r="H7" s="71">
        <f t="shared" si="1"/>
        <v>0.15381634566264385</v>
      </c>
      <c r="I7" s="71">
        <f t="shared" si="2"/>
        <v>1465.1006924366825</v>
      </c>
      <c r="J7" s="70">
        <f t="shared" ref="J7:J19" si="5">0.002/1000/C7</f>
        <v>8.7489063867016631E-5</v>
      </c>
      <c r="K7" s="71">
        <f t="shared" si="3"/>
        <v>1.0920751100997432E-2</v>
      </c>
      <c r="L7" s="72">
        <f t="shared" si="4"/>
        <v>0.29122002935993152</v>
      </c>
      <c r="N7" s="15" t="s">
        <v>86</v>
      </c>
      <c r="O7" s="20">
        <v>1</v>
      </c>
    </row>
    <row r="8" spans="1:15" x14ac:dyDescent="0.25">
      <c r="A8" s="15" t="s">
        <v>87</v>
      </c>
      <c r="B8" s="16">
        <v>0.9</v>
      </c>
      <c r="C8" s="70">
        <f t="shared" si="0"/>
        <v>2.2859999999999998E-2</v>
      </c>
      <c r="D8" s="16">
        <v>1</v>
      </c>
      <c r="E8" s="16">
        <v>0.5</v>
      </c>
      <c r="F8" s="70">
        <f>E8*$O$23</f>
        <v>0.15240000000000001</v>
      </c>
      <c r="G8" s="16" t="s">
        <v>77</v>
      </c>
      <c r="H8" s="71">
        <f t="shared" si="1"/>
        <v>0.15381634566264385</v>
      </c>
      <c r="I8" s="71">
        <f t="shared" si="2"/>
        <v>1465.1006924366825</v>
      </c>
      <c r="J8" s="70">
        <f t="shared" si="5"/>
        <v>8.7489063867016631E-5</v>
      </c>
      <c r="K8" s="71">
        <f t="shared" si="3"/>
        <v>1.0920751100997432E-2</v>
      </c>
      <c r="L8" s="72">
        <f t="shared" si="4"/>
        <v>0.29122002935993152</v>
      </c>
      <c r="N8" s="15" t="s">
        <v>88</v>
      </c>
      <c r="O8" s="73">
        <f>O7/O16*O18/O20</f>
        <v>6.3131313131313131E-5</v>
      </c>
    </row>
    <row r="9" spans="1:15" ht="15.75" thickBot="1" x14ac:dyDescent="0.3">
      <c r="A9" s="15" t="s">
        <v>81</v>
      </c>
      <c r="B9" s="16">
        <v>0.9</v>
      </c>
      <c r="C9" s="70">
        <f t="shared" si="0"/>
        <v>2.2859999999999998E-2</v>
      </c>
      <c r="D9" s="16">
        <v>1</v>
      </c>
      <c r="E9" s="16" t="s">
        <v>79</v>
      </c>
      <c r="F9" s="70" t="s">
        <v>79</v>
      </c>
      <c r="G9" s="16" t="s">
        <v>77</v>
      </c>
      <c r="H9" s="71">
        <f t="shared" si="1"/>
        <v>0.15381634566264385</v>
      </c>
      <c r="I9" s="71">
        <f t="shared" si="2"/>
        <v>1465.1006924366825</v>
      </c>
      <c r="J9" s="70" t="s">
        <v>79</v>
      </c>
      <c r="K9" s="71" t="s">
        <v>79</v>
      </c>
      <c r="L9" s="72">
        <f>800/I10+(0.14*(1+4/B10^0.3))</f>
        <v>1.2640208336096581</v>
      </c>
      <c r="N9" s="46" t="s">
        <v>89</v>
      </c>
      <c r="O9" s="44">
        <f>O8*O4</f>
        <v>6.3131313131313135E-2</v>
      </c>
    </row>
    <row r="10" spans="1:15" ht="15.75" thickBot="1" x14ac:dyDescent="0.3">
      <c r="A10" s="15" t="s">
        <v>90</v>
      </c>
      <c r="B10" s="16">
        <v>0.9</v>
      </c>
      <c r="C10" s="70">
        <f t="shared" si="0"/>
        <v>2.2859999999999998E-2</v>
      </c>
      <c r="D10" s="16">
        <v>1</v>
      </c>
      <c r="E10" s="16" t="s">
        <v>79</v>
      </c>
      <c r="F10" s="70" t="s">
        <v>79</v>
      </c>
      <c r="G10" s="16" t="s">
        <v>77</v>
      </c>
      <c r="H10" s="71">
        <f t="shared" si="1"/>
        <v>0.15381634566264385</v>
      </c>
      <c r="I10" s="71">
        <f t="shared" si="2"/>
        <v>1465.1006924366825</v>
      </c>
      <c r="J10" s="70" t="s">
        <v>79</v>
      </c>
      <c r="K10" s="71" t="s">
        <v>79</v>
      </c>
      <c r="L10" s="72">
        <f>300/I11+(0.017*(1+3.5/B11^0.3))</f>
        <v>0.28317480649067917</v>
      </c>
    </row>
    <row r="11" spans="1:15" ht="15.75" thickBot="1" x14ac:dyDescent="0.3">
      <c r="A11" s="15" t="s">
        <v>91</v>
      </c>
      <c r="B11" s="16">
        <v>0.9</v>
      </c>
      <c r="C11" s="70">
        <f t="shared" si="0"/>
        <v>2.2859999999999998E-2</v>
      </c>
      <c r="D11" s="16">
        <v>1</v>
      </c>
      <c r="E11" s="16">
        <v>1</v>
      </c>
      <c r="F11" s="70">
        <f>E11*$O$23</f>
        <v>0.30480000000000002</v>
      </c>
      <c r="G11" s="16" t="s">
        <v>77</v>
      </c>
      <c r="H11" s="71">
        <f t="shared" si="1"/>
        <v>0.15381634566264385</v>
      </c>
      <c r="I11" s="71">
        <f t="shared" si="2"/>
        <v>1465.1006924366825</v>
      </c>
      <c r="J11" s="70">
        <f t="shared" si="5"/>
        <v>8.7489063867016631E-5</v>
      </c>
      <c r="K11" s="71">
        <f t="shared" si="3"/>
        <v>1.0920751100997432E-2</v>
      </c>
      <c r="L11" s="72">
        <f t="shared" si="4"/>
        <v>0.58244005871986304</v>
      </c>
      <c r="N11" s="74" t="s">
        <v>92</v>
      </c>
      <c r="O11" s="75"/>
    </row>
    <row r="12" spans="1:15" x14ac:dyDescent="0.25">
      <c r="A12" s="15" t="s">
        <v>87</v>
      </c>
      <c r="B12" s="16">
        <v>0.9</v>
      </c>
      <c r="C12" s="70">
        <f t="shared" si="0"/>
        <v>2.2859999999999998E-2</v>
      </c>
      <c r="D12" s="16">
        <v>1</v>
      </c>
      <c r="E12" s="16">
        <v>1</v>
      </c>
      <c r="F12" s="70">
        <f>E12*$O$23</f>
        <v>0.30480000000000002</v>
      </c>
      <c r="G12" s="16" t="s">
        <v>77</v>
      </c>
      <c r="H12" s="71">
        <f t="shared" si="1"/>
        <v>0.15381634566264385</v>
      </c>
      <c r="I12" s="71">
        <f t="shared" si="2"/>
        <v>1465.1006924366825</v>
      </c>
      <c r="J12" s="70">
        <f t="shared" si="5"/>
        <v>8.7489063867016631E-5</v>
      </c>
      <c r="K12" s="71">
        <f t="shared" si="3"/>
        <v>1.0920751100997432E-2</v>
      </c>
      <c r="L12" s="72">
        <f t="shared" si="4"/>
        <v>0.58244005871986304</v>
      </c>
      <c r="N12" s="13" t="s">
        <v>15</v>
      </c>
      <c r="O12" s="14">
        <v>8.3000000000000004E-2</v>
      </c>
    </row>
    <row r="13" spans="1:15" x14ac:dyDescent="0.25">
      <c r="A13" s="15" t="s">
        <v>81</v>
      </c>
      <c r="B13" s="16">
        <v>0.9</v>
      </c>
      <c r="C13" s="70">
        <f t="shared" si="0"/>
        <v>2.2859999999999998E-2</v>
      </c>
      <c r="D13" s="16">
        <v>1</v>
      </c>
      <c r="E13" s="16" t="s">
        <v>79</v>
      </c>
      <c r="F13" s="70" t="s">
        <v>79</v>
      </c>
      <c r="G13" s="16" t="s">
        <v>77</v>
      </c>
      <c r="H13" s="71">
        <f t="shared" si="1"/>
        <v>0.15381634566264385</v>
      </c>
      <c r="I13" s="71">
        <f t="shared" si="2"/>
        <v>1465.1006924366825</v>
      </c>
      <c r="J13" s="70" t="s">
        <v>79</v>
      </c>
      <c r="K13" s="71" t="s">
        <v>79</v>
      </c>
      <c r="L13" s="72">
        <f>800/I14+(0.14*(1+4/B14^0.3))</f>
        <v>1.2640208336096581</v>
      </c>
      <c r="N13" s="19" t="s">
        <v>17</v>
      </c>
      <c r="O13" s="20">
        <v>14.5</v>
      </c>
    </row>
    <row r="14" spans="1:15" x14ac:dyDescent="0.25">
      <c r="A14" s="15" t="s">
        <v>93</v>
      </c>
      <c r="B14" s="16">
        <v>0.9</v>
      </c>
      <c r="C14" s="70">
        <f t="shared" si="0"/>
        <v>2.2859999999999998E-2</v>
      </c>
      <c r="D14" s="16">
        <v>1</v>
      </c>
      <c r="E14" s="16">
        <v>1</v>
      </c>
      <c r="F14" s="70">
        <f>E14*$O$23</f>
        <v>0.30480000000000002</v>
      </c>
      <c r="G14" s="16" t="s">
        <v>77</v>
      </c>
      <c r="H14" s="71">
        <f t="shared" si="1"/>
        <v>0.15381634566264385</v>
      </c>
      <c r="I14" s="71">
        <f t="shared" si="2"/>
        <v>1465.1006924366825</v>
      </c>
      <c r="J14" s="70">
        <f t="shared" si="5"/>
        <v>8.7489063867016631E-5</v>
      </c>
      <c r="K14" s="71">
        <f t="shared" si="3"/>
        <v>1.0920751100997432E-2</v>
      </c>
      <c r="L14" s="72">
        <f t="shared" si="4"/>
        <v>0.58244005871986304</v>
      </c>
      <c r="N14" s="19" t="s">
        <v>36</v>
      </c>
      <c r="O14" s="20">
        <f>5*31</f>
        <v>155</v>
      </c>
    </row>
    <row r="15" spans="1:15" x14ac:dyDescent="0.25">
      <c r="A15" s="15" t="s">
        <v>87</v>
      </c>
      <c r="B15" s="16">
        <v>0.9</v>
      </c>
      <c r="C15" s="70">
        <f t="shared" si="0"/>
        <v>2.2859999999999998E-2</v>
      </c>
      <c r="D15" s="16">
        <v>1</v>
      </c>
      <c r="E15" s="16">
        <v>1</v>
      </c>
      <c r="F15" s="70">
        <f>E15*$O$23</f>
        <v>0.30480000000000002</v>
      </c>
      <c r="G15" s="16" t="s">
        <v>77</v>
      </c>
      <c r="H15" s="71">
        <f t="shared" si="1"/>
        <v>0.15381634566264385</v>
      </c>
      <c r="I15" s="71">
        <f t="shared" si="2"/>
        <v>1465.1006924366825</v>
      </c>
      <c r="J15" s="70">
        <f t="shared" si="5"/>
        <v>8.7489063867016631E-5</v>
      </c>
      <c r="K15" s="71">
        <f t="shared" si="3"/>
        <v>1.0920751100997432E-2</v>
      </c>
      <c r="L15" s="72">
        <f t="shared" si="4"/>
        <v>0.58244005871986304</v>
      </c>
      <c r="N15" s="19" t="s">
        <v>94</v>
      </c>
      <c r="O15" s="20">
        <f>O14/O16*O18</f>
        <v>0.58712121212121215</v>
      </c>
    </row>
    <row r="16" spans="1:15" x14ac:dyDescent="0.25">
      <c r="A16" s="15" t="s">
        <v>81</v>
      </c>
      <c r="B16" s="16">
        <v>0.9</v>
      </c>
      <c r="C16" s="70">
        <f t="shared" si="0"/>
        <v>2.2859999999999998E-2</v>
      </c>
      <c r="D16" s="16">
        <v>1</v>
      </c>
      <c r="E16" s="16" t="s">
        <v>79</v>
      </c>
      <c r="F16" s="70" t="s">
        <v>79</v>
      </c>
      <c r="G16" s="16" t="s">
        <v>77</v>
      </c>
      <c r="H16" s="71">
        <f t="shared" si="1"/>
        <v>0.15381634566264385</v>
      </c>
      <c r="I16" s="71">
        <f t="shared" si="2"/>
        <v>1465.1006924366825</v>
      </c>
      <c r="J16" s="70" t="s">
        <v>79</v>
      </c>
      <c r="K16" s="71" t="s">
        <v>79</v>
      </c>
      <c r="L16" s="72">
        <f>800/I17+(0.14*(1+4/B17^0.3))</f>
        <v>1.2640208336096581</v>
      </c>
      <c r="N16" s="19" t="s">
        <v>19</v>
      </c>
      <c r="O16" s="20">
        <v>0.26400000000000001</v>
      </c>
    </row>
    <row r="17" spans="1:15" x14ac:dyDescent="0.25">
      <c r="A17" s="15" t="s">
        <v>87</v>
      </c>
      <c r="B17" s="16">
        <v>0.9</v>
      </c>
      <c r="C17" s="70">
        <f t="shared" si="0"/>
        <v>2.2859999999999998E-2</v>
      </c>
      <c r="D17" s="16">
        <v>1</v>
      </c>
      <c r="E17" s="16">
        <v>1</v>
      </c>
      <c r="F17" s="70">
        <f>E17*$O$23</f>
        <v>0.30480000000000002</v>
      </c>
      <c r="G17" s="16" t="s">
        <v>77</v>
      </c>
      <c r="H17" s="71">
        <f t="shared" si="1"/>
        <v>0.15381634566264385</v>
      </c>
      <c r="I17" s="71">
        <f t="shared" si="2"/>
        <v>1465.1006924366825</v>
      </c>
      <c r="J17" s="70">
        <f t="shared" si="5"/>
        <v>8.7489063867016631E-5</v>
      </c>
      <c r="K17" s="71">
        <f t="shared" si="3"/>
        <v>1.0920751100997432E-2</v>
      </c>
      <c r="L17" s="72">
        <f t="shared" si="4"/>
        <v>0.58244005871986304</v>
      </c>
      <c r="N17" s="19" t="s">
        <v>21</v>
      </c>
      <c r="O17" s="20">
        <f>O12*O13*O16</f>
        <v>0.31772400000000001</v>
      </c>
    </row>
    <row r="18" spans="1:15" x14ac:dyDescent="0.25">
      <c r="A18" s="15" t="s">
        <v>81</v>
      </c>
      <c r="B18" s="16">
        <v>0.9</v>
      </c>
      <c r="C18" s="70">
        <f t="shared" si="0"/>
        <v>2.2859999999999998E-2</v>
      </c>
      <c r="D18" s="16">
        <v>1</v>
      </c>
      <c r="E18" s="76" t="s">
        <v>79</v>
      </c>
      <c r="F18" s="70" t="s">
        <v>79</v>
      </c>
      <c r="G18" s="16" t="s">
        <v>77</v>
      </c>
      <c r="H18" s="71">
        <f>$O$8/(PI()*C18^2/4)</f>
        <v>0.15381634566264385</v>
      </c>
      <c r="I18" s="71">
        <f>H18*C18/$O$6</f>
        <v>1465.1006924366825</v>
      </c>
      <c r="J18" s="70" t="s">
        <v>79</v>
      </c>
      <c r="K18" s="71" t="s">
        <v>79</v>
      </c>
      <c r="L18" s="72">
        <f>800/I19+(0.14*(1+4/B19^0.3))</f>
        <v>1.2640208336096581</v>
      </c>
      <c r="N18" s="19" t="s">
        <v>95</v>
      </c>
      <c r="O18" s="73">
        <v>1E-3</v>
      </c>
    </row>
    <row r="19" spans="1:15" ht="15.75" thickBot="1" x14ac:dyDescent="0.3">
      <c r="A19" s="46" t="s">
        <v>96</v>
      </c>
      <c r="B19" s="77">
        <v>0.9</v>
      </c>
      <c r="C19" s="78">
        <f t="shared" si="0"/>
        <v>2.2859999999999998E-2</v>
      </c>
      <c r="D19" s="77">
        <v>1</v>
      </c>
      <c r="E19" s="79">
        <v>0.5</v>
      </c>
      <c r="F19" s="78">
        <f>E19*$O$23</f>
        <v>0.15240000000000001</v>
      </c>
      <c r="G19" s="77" t="s">
        <v>77</v>
      </c>
      <c r="H19" s="80">
        <f>$O$8/(PI()*C19^2/4)</f>
        <v>0.15381634566264385</v>
      </c>
      <c r="I19" s="80">
        <f t="shared" si="2"/>
        <v>1465.1006924366825</v>
      </c>
      <c r="J19" s="78">
        <f t="shared" si="5"/>
        <v>8.7489063867016631E-5</v>
      </c>
      <c r="K19" s="80">
        <f t="shared" si="3"/>
        <v>1.0920751100997432E-2</v>
      </c>
      <c r="L19" s="81">
        <f t="shared" si="4"/>
        <v>0.29122002935993152</v>
      </c>
      <c r="N19" s="19" t="s">
        <v>43</v>
      </c>
      <c r="O19" s="20">
        <v>44.01</v>
      </c>
    </row>
    <row r="20" spans="1:15" ht="15.75" thickBot="1" x14ac:dyDescent="0.3">
      <c r="E20" s="82"/>
      <c r="N20" s="19" t="s">
        <v>97</v>
      </c>
      <c r="O20" s="20">
        <v>60</v>
      </c>
    </row>
    <row r="21" spans="1:15" ht="15.75" thickBot="1" x14ac:dyDescent="0.3">
      <c r="A21" s="63" t="s">
        <v>98</v>
      </c>
      <c r="B21" s="64"/>
      <c r="C21" s="64"/>
      <c r="D21" s="64"/>
      <c r="E21" s="64"/>
      <c r="F21" s="64"/>
      <c r="G21" s="64"/>
      <c r="H21" s="64"/>
      <c r="I21" s="65"/>
      <c r="N21" s="19" t="s">
        <v>99</v>
      </c>
      <c r="O21" s="20">
        <v>9.8000000000000007</v>
      </c>
    </row>
    <row r="22" spans="1:15" ht="15.75" thickBot="1" x14ac:dyDescent="0.3">
      <c r="A22" s="37" t="s">
        <v>1</v>
      </c>
      <c r="B22" s="38" t="s">
        <v>100</v>
      </c>
      <c r="C22" s="38" t="s">
        <v>101</v>
      </c>
      <c r="D22" s="38" t="s">
        <v>102</v>
      </c>
      <c r="E22" s="38" t="s">
        <v>103</v>
      </c>
      <c r="F22" s="38" t="s">
        <v>104</v>
      </c>
      <c r="G22" s="38" t="s">
        <v>105</v>
      </c>
      <c r="H22" s="38" t="s">
        <v>106</v>
      </c>
      <c r="I22" s="39" t="s">
        <v>107</v>
      </c>
      <c r="N22" s="19" t="s">
        <v>108</v>
      </c>
      <c r="O22" s="20">
        <v>2.5399999999999999E-2</v>
      </c>
    </row>
    <row r="23" spans="1:15" x14ac:dyDescent="0.25">
      <c r="A23" s="8" t="s">
        <v>109</v>
      </c>
      <c r="B23" s="40">
        <v>30</v>
      </c>
      <c r="C23" s="66">
        <f>B23*$O$25</f>
        <v>206844</v>
      </c>
      <c r="D23" s="66">
        <f>C23/$O$4/$O$21</f>
        <v>21.106530612244896</v>
      </c>
      <c r="E23" s="40">
        <v>5</v>
      </c>
      <c r="F23" s="66">
        <f>E23*O23</f>
        <v>1.524</v>
      </c>
      <c r="G23" s="67" cm="1">
        <f t="array" ref="G23">SUM(L3:L19/(C3:C19)^4)</f>
        <v>42279094.794490069</v>
      </c>
      <c r="H23" s="67">
        <f>G23*8*O8^2/(O21*PI()^2)</f>
        <v>1.3937327068563441E-2</v>
      </c>
      <c r="I23" s="83">
        <f>H23+F23+D23</f>
        <v>22.644467939313458</v>
      </c>
      <c r="N23" s="19" t="s">
        <v>110</v>
      </c>
      <c r="O23" s="20">
        <v>0.30480000000000002</v>
      </c>
    </row>
    <row r="24" spans="1:15" x14ac:dyDescent="0.25">
      <c r="A24" s="15" t="s">
        <v>111</v>
      </c>
      <c r="B24" s="16">
        <v>35</v>
      </c>
      <c r="C24" s="70">
        <f t="shared" ref="C24:C27" si="6">B24*$O$25</f>
        <v>241318</v>
      </c>
      <c r="D24" s="70">
        <f>C24/$O$4/$O$21</f>
        <v>24.624285714285715</v>
      </c>
      <c r="E24" s="45"/>
      <c r="F24" s="45"/>
      <c r="G24" s="45"/>
      <c r="H24" s="45"/>
      <c r="I24" s="84">
        <f>H24+F24+D24</f>
        <v>24.624285714285715</v>
      </c>
      <c r="N24" s="85" t="s">
        <v>112</v>
      </c>
      <c r="O24" s="86">
        <f>O14/O16*O18*O4</f>
        <v>587.12121212121212</v>
      </c>
    </row>
    <row r="25" spans="1:15" ht="15.75" thickBot="1" x14ac:dyDescent="0.3">
      <c r="A25" s="15" t="s">
        <v>113</v>
      </c>
      <c r="B25" s="16">
        <v>35</v>
      </c>
      <c r="C25" s="70">
        <f t="shared" si="6"/>
        <v>241318</v>
      </c>
      <c r="D25" s="70">
        <f>C25/$O$4/$O$21</f>
        <v>24.624285714285715</v>
      </c>
      <c r="E25" s="45"/>
      <c r="F25" s="45"/>
      <c r="G25" s="45"/>
      <c r="H25" s="45"/>
      <c r="I25" s="84">
        <f t="shared" ref="I25:I27" si="7">H25+F25+D25</f>
        <v>24.624285714285715</v>
      </c>
      <c r="N25" s="43" t="s">
        <v>114</v>
      </c>
      <c r="O25" s="44">
        <v>6894.8</v>
      </c>
    </row>
    <row r="26" spans="1:15" ht="15.75" thickBot="1" x14ac:dyDescent="0.3">
      <c r="A26" s="15" t="s">
        <v>115</v>
      </c>
      <c r="B26" s="16">
        <v>20</v>
      </c>
      <c r="C26" s="70">
        <f t="shared" si="6"/>
        <v>137896</v>
      </c>
      <c r="D26" s="70">
        <f>C26/$O$4/$O$21</f>
        <v>14.071020408163262</v>
      </c>
      <c r="E26" s="45"/>
      <c r="F26" s="45"/>
      <c r="G26" s="45"/>
      <c r="H26" s="45"/>
      <c r="I26" s="84">
        <f t="shared" si="7"/>
        <v>14.071020408163262</v>
      </c>
    </row>
    <row r="27" spans="1:15" ht="15.75" thickBot="1" x14ac:dyDescent="0.3">
      <c r="A27" s="46" t="s">
        <v>116</v>
      </c>
      <c r="B27" s="77">
        <v>2</v>
      </c>
      <c r="C27" s="78">
        <f t="shared" si="6"/>
        <v>13789.6</v>
      </c>
      <c r="D27" s="78">
        <f>C27/$O$4/$O$21</f>
        <v>1.4071020408163264</v>
      </c>
      <c r="E27" s="47"/>
      <c r="F27" s="47"/>
      <c r="G27" s="47"/>
      <c r="H27" s="47"/>
      <c r="I27" s="87">
        <f t="shared" si="7"/>
        <v>1.4071020408163264</v>
      </c>
      <c r="N27" s="50" t="s">
        <v>46</v>
      </c>
    </row>
    <row r="28" spans="1:15" ht="15.75" thickBot="1" x14ac:dyDescent="0.3">
      <c r="N28" s="51" t="s">
        <v>47</v>
      </c>
    </row>
    <row r="29" spans="1:15" ht="15.75" thickBot="1" x14ac:dyDescent="0.3">
      <c r="A29" s="63" t="s">
        <v>117</v>
      </c>
      <c r="B29" s="64"/>
      <c r="C29" s="64"/>
      <c r="D29" s="64"/>
      <c r="E29" s="64"/>
      <c r="F29" s="64"/>
      <c r="G29" s="65"/>
      <c r="N29" s="55" t="s">
        <v>49</v>
      </c>
    </row>
    <row r="30" spans="1:15" ht="15.75" thickBot="1" x14ac:dyDescent="0.3">
      <c r="A30" s="88" t="s">
        <v>118</v>
      </c>
      <c r="B30" s="89" t="s">
        <v>119</v>
      </c>
      <c r="C30" s="89" t="s">
        <v>120</v>
      </c>
      <c r="D30" s="89" t="s">
        <v>121</v>
      </c>
      <c r="E30" s="89" t="s">
        <v>122</v>
      </c>
      <c r="F30" s="89" t="s">
        <v>123</v>
      </c>
      <c r="G30" s="90" t="s">
        <v>124</v>
      </c>
      <c r="N30" s="56" t="s">
        <v>57</v>
      </c>
    </row>
    <row r="31" spans="1:15" x14ac:dyDescent="0.25">
      <c r="A31" s="13" t="s">
        <v>32</v>
      </c>
      <c r="B31" s="11">
        <v>0.7</v>
      </c>
      <c r="C31" s="10">
        <f>SUM(I23:I27)*O21*O4*O8/B31</f>
        <v>77.221986454299412</v>
      </c>
      <c r="D31" s="11">
        <f>O9</f>
        <v>6.3131313131313135E-2</v>
      </c>
      <c r="E31" s="91">
        <f>C31/D31</f>
        <v>1223.1962654361025</v>
      </c>
      <c r="F31" s="92">
        <f>C31/1000/D31/3600</f>
        <v>3.3977674039891738E-4</v>
      </c>
      <c r="G31" s="93">
        <f>F31*O24</f>
        <v>0.1994901316736068</v>
      </c>
    </row>
    <row r="32" spans="1:15" ht="15.75" thickBot="1" x14ac:dyDescent="0.3">
      <c r="A32" s="43" t="s">
        <v>125</v>
      </c>
      <c r="B32" s="79">
        <v>0.7</v>
      </c>
      <c r="C32" s="79">
        <f>240*10/B32</f>
        <v>3428.5714285714289</v>
      </c>
      <c r="D32" s="79">
        <f>O9</f>
        <v>6.3131313131313135E-2</v>
      </c>
      <c r="E32" s="94">
        <f>C32/D32</f>
        <v>54308.571428571428</v>
      </c>
      <c r="F32" s="80">
        <f>C32/1000/D32/3600</f>
        <v>1.5085714285714286E-2</v>
      </c>
      <c r="G32" s="87">
        <f>F32*O24</f>
        <v>8.8571428571428577</v>
      </c>
    </row>
    <row r="34" spans="7:7" x14ac:dyDescent="0.25">
      <c r="G34" s="95"/>
    </row>
  </sheetData>
  <mergeCells count="5">
    <mergeCell ref="A1:L1"/>
    <mergeCell ref="N2:O2"/>
    <mergeCell ref="N11:O11"/>
    <mergeCell ref="A21:I21"/>
    <mergeCell ref="A29:G2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B38A2-740F-492D-8864-F7FFBFE4A573}">
  <dimension ref="A1:O21"/>
  <sheetViews>
    <sheetView workbookViewId="0">
      <selection sqref="A1:XFD1048576"/>
    </sheetView>
  </sheetViews>
  <sheetFormatPr defaultRowHeight="15" x14ac:dyDescent="0.25"/>
  <cols>
    <col min="1" max="1" width="21.140625" bestFit="1" customWidth="1"/>
    <col min="2" max="3" width="22.28515625" bestFit="1" customWidth="1"/>
    <col min="4" max="4" width="16.7109375" bestFit="1" customWidth="1"/>
    <col min="5" max="5" width="20.42578125" bestFit="1" customWidth="1"/>
    <col min="6" max="6" width="22.28515625" bestFit="1" customWidth="1"/>
    <col min="7" max="7" width="23.5703125" bestFit="1" customWidth="1"/>
    <col min="8" max="8" width="32" bestFit="1" customWidth="1"/>
    <col min="9" max="9" width="37.5703125" bestFit="1" customWidth="1"/>
    <col min="10" max="10" width="13.5703125" bestFit="1" customWidth="1"/>
    <col min="11" max="11" width="7.5703125" bestFit="1" customWidth="1"/>
    <col min="12" max="12" width="14.5703125" bestFit="1" customWidth="1"/>
    <col min="14" max="14" width="24.5703125" bestFit="1" customWidth="1"/>
    <col min="18" max="18" width="8.7109375" customWidth="1"/>
  </cols>
  <sheetData>
    <row r="1" spans="1:15" ht="15.7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5" ht="15.75" thickBot="1" x14ac:dyDescent="0.3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7" t="s">
        <v>12</v>
      </c>
      <c r="N2" s="1" t="s">
        <v>13</v>
      </c>
      <c r="O2" s="3"/>
    </row>
    <row r="3" spans="1:15" x14ac:dyDescent="0.25">
      <c r="A3" s="8" t="s">
        <v>14</v>
      </c>
      <c r="B3" s="9">
        <v>15</v>
      </c>
      <c r="C3" s="9">
        <v>298</v>
      </c>
      <c r="D3" s="9">
        <f>ROUNDUP(O10*1.18,0)</f>
        <v>366</v>
      </c>
      <c r="E3" s="10">
        <f>D3/$O$5/1000</f>
        <v>1.3863636363636362</v>
      </c>
      <c r="F3" s="10">
        <f>B3*$O$11/$O$6/C3*$O$5*1000</f>
        <v>1211.2323396804065</v>
      </c>
      <c r="G3" s="10">
        <f>B3*$O$12/$O$6/C3*$O$5*1000</f>
        <v>1840.6883725598996</v>
      </c>
      <c r="H3" s="10">
        <f>B3*D3/($O$6*C3)</f>
        <v>57.983717918527745</v>
      </c>
      <c r="I3" s="10">
        <f>E3</f>
        <v>1.3863636363636362</v>
      </c>
      <c r="J3" s="10">
        <f>I3*F3</f>
        <v>1679.2084709205635</v>
      </c>
      <c r="K3" s="11">
        <v>0</v>
      </c>
      <c r="L3" s="12">
        <v>0</v>
      </c>
      <c r="N3" s="13" t="s">
        <v>15</v>
      </c>
      <c r="O3" s="14">
        <v>8.3000000000000004E-2</v>
      </c>
    </row>
    <row r="4" spans="1:15" x14ac:dyDescent="0.25">
      <c r="A4" s="15" t="s">
        <v>16</v>
      </c>
      <c r="B4" s="16">
        <v>15</v>
      </c>
      <c r="C4" s="16">
        <v>298</v>
      </c>
      <c r="D4" s="16">
        <f>D3</f>
        <v>366</v>
      </c>
      <c r="E4" s="17">
        <f t="shared" ref="E4:E5" si="0">D4/$O$5/1000</f>
        <v>1.3863636363636362</v>
      </c>
      <c r="F4" s="17">
        <f>B4*$O$11/$O$6/C4*$O$5*1000</f>
        <v>1211.2323396804065</v>
      </c>
      <c r="G4" s="17">
        <f>B4*$O$12/$O$6/C4*$O$5*1000</f>
        <v>1840.6883725598996</v>
      </c>
      <c r="H4" s="10">
        <f>B4*D4/($O$6*C4)</f>
        <v>57.983717918527745</v>
      </c>
      <c r="I4" s="17">
        <f>(D4-E8)/O5/1000</f>
        <v>0</v>
      </c>
      <c r="J4" s="17">
        <f>I4*F4</f>
        <v>0</v>
      </c>
      <c r="K4" s="17">
        <f>E4-I4</f>
        <v>1.3863636363636362</v>
      </c>
      <c r="L4" s="18">
        <f>K4*G4</f>
        <v>2551.8634255944062</v>
      </c>
      <c r="N4" s="19" t="s">
        <v>17</v>
      </c>
      <c r="O4" s="20">
        <v>14.5</v>
      </c>
    </row>
    <row r="5" spans="1:15" ht="15.75" thickBot="1" x14ac:dyDescent="0.3">
      <c r="A5" s="21" t="s">
        <v>18</v>
      </c>
      <c r="B5" s="22">
        <v>40</v>
      </c>
      <c r="C5" s="22">
        <v>298</v>
      </c>
      <c r="D5" s="22">
        <f>D3</f>
        <v>366</v>
      </c>
      <c r="E5" s="23">
        <f t="shared" si="0"/>
        <v>1.3863636363636362</v>
      </c>
      <c r="F5" s="23">
        <f>B5*$O$11/$O$6/C5*$O$5*1000</f>
        <v>3229.9529058144171</v>
      </c>
      <c r="G5" s="23">
        <f>B5*$O$12/$O$6/C5*$O$5*1000</f>
        <v>4908.5023268263985</v>
      </c>
      <c r="H5" s="24">
        <f>B5*D5/($O$6*C5)</f>
        <v>154.62324778274063</v>
      </c>
      <c r="I5" s="23">
        <f>J5/F5</f>
        <v>0</v>
      </c>
      <c r="J5" s="23">
        <f>J4</f>
        <v>0</v>
      </c>
      <c r="K5" s="23">
        <f>E5-I5</f>
        <v>1.3863636363636362</v>
      </c>
      <c r="L5" s="25">
        <f>G5*K5</f>
        <v>6804.9691349184159</v>
      </c>
      <c r="N5" s="19" t="s">
        <v>19</v>
      </c>
      <c r="O5" s="20">
        <v>0.26400000000000001</v>
      </c>
    </row>
    <row r="6" spans="1:15" ht="15.75" thickBot="1" x14ac:dyDescent="0.3">
      <c r="A6" s="26" t="s">
        <v>20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8"/>
      <c r="N6" s="19" t="s">
        <v>21</v>
      </c>
      <c r="O6" s="20">
        <f>O3*O4*O5</f>
        <v>0.31772400000000001</v>
      </c>
    </row>
    <row r="7" spans="1:15" ht="15.75" thickBot="1" x14ac:dyDescent="0.3">
      <c r="A7" s="29" t="s">
        <v>1</v>
      </c>
      <c r="B7" s="5" t="s">
        <v>22</v>
      </c>
      <c r="C7" s="6" t="s">
        <v>23</v>
      </c>
      <c r="D7" s="6" t="s">
        <v>24</v>
      </c>
      <c r="E7" s="6" t="s">
        <v>25</v>
      </c>
      <c r="F7" s="6" t="s">
        <v>26</v>
      </c>
      <c r="G7" s="6" t="s">
        <v>27</v>
      </c>
      <c r="H7" s="6" t="s">
        <v>28</v>
      </c>
      <c r="I7" s="6" t="s">
        <v>29</v>
      </c>
      <c r="J7" s="6" t="s">
        <v>30</v>
      </c>
      <c r="K7" s="6"/>
      <c r="L7" s="7"/>
      <c r="N7" s="19" t="s">
        <v>31</v>
      </c>
      <c r="O7" s="20">
        <v>1.96</v>
      </c>
    </row>
    <row r="8" spans="1:15" ht="15.75" thickBot="1" x14ac:dyDescent="0.3">
      <c r="A8" s="30" t="s">
        <v>32</v>
      </c>
      <c r="B8" s="31">
        <v>15</v>
      </c>
      <c r="C8" s="31">
        <v>25</v>
      </c>
      <c r="D8" s="32">
        <f>B8*C8</f>
        <v>375</v>
      </c>
      <c r="E8" s="33">
        <f>IF((D3-D8)&lt;=0,D3,D8)</f>
        <v>366</v>
      </c>
      <c r="F8" s="33">
        <f>IF((D8-D3)&gt;=0,D8-D3,0)</f>
        <v>9</v>
      </c>
      <c r="G8" s="33">
        <f>D8-F8</f>
        <v>366</v>
      </c>
      <c r="H8" s="33">
        <f>G8/O5/1000*G4</f>
        <v>2551.8634255944062</v>
      </c>
      <c r="I8" s="34">
        <f>F8/O5/1000*G4</f>
        <v>62.750739973632932</v>
      </c>
      <c r="J8" s="34">
        <f>D8/O5/1000*G4</f>
        <v>2614.614165568039</v>
      </c>
      <c r="K8" s="35"/>
      <c r="L8" s="36"/>
      <c r="N8" s="19" t="s">
        <v>33</v>
      </c>
      <c r="O8" s="20">
        <v>1000</v>
      </c>
    </row>
    <row r="9" spans="1:15" ht="15.75" thickBot="1" x14ac:dyDescent="0.3">
      <c r="N9" s="19" t="s">
        <v>34</v>
      </c>
      <c r="O9" s="20">
        <v>1</v>
      </c>
    </row>
    <row r="10" spans="1:15" ht="15.75" thickBot="1" x14ac:dyDescent="0.3">
      <c r="A10" s="26" t="s">
        <v>35</v>
      </c>
      <c r="B10" s="27"/>
      <c r="C10" s="27"/>
      <c r="D10" s="27"/>
      <c r="E10" s="28"/>
      <c r="N10" s="19" t="s">
        <v>36</v>
      </c>
      <c r="O10" s="20">
        <f>10*31</f>
        <v>310</v>
      </c>
    </row>
    <row r="11" spans="1:15" ht="15.75" thickBot="1" x14ac:dyDescent="0.3">
      <c r="A11" s="37" t="s">
        <v>1</v>
      </c>
      <c r="B11" s="38" t="s">
        <v>37</v>
      </c>
      <c r="C11" s="38" t="s">
        <v>38</v>
      </c>
      <c r="D11" s="38" t="s">
        <v>39</v>
      </c>
      <c r="E11" s="39" t="s">
        <v>40</v>
      </c>
      <c r="N11" s="19" t="s">
        <v>41</v>
      </c>
      <c r="O11" s="20">
        <v>28.96</v>
      </c>
    </row>
    <row r="12" spans="1:15" ht="15.75" thickBot="1" x14ac:dyDescent="0.3">
      <c r="A12" s="8" t="s">
        <v>42</v>
      </c>
      <c r="B12" s="40">
        <v>0.88</v>
      </c>
      <c r="C12" s="40">
        <f>B12*$O$7</f>
        <v>1.7247999999999999</v>
      </c>
      <c r="D12" s="41"/>
      <c r="E12" s="42"/>
      <c r="N12" s="43" t="s">
        <v>43</v>
      </c>
      <c r="O12" s="44">
        <v>44.01</v>
      </c>
    </row>
    <row r="13" spans="1:15" ht="15.75" thickBot="1" x14ac:dyDescent="0.3">
      <c r="A13" s="15" t="s">
        <v>44</v>
      </c>
      <c r="B13" s="16">
        <v>2.5</v>
      </c>
      <c r="C13" s="16">
        <f>B13*$O$7</f>
        <v>4.9000000000000004</v>
      </c>
      <c r="D13" s="45"/>
      <c r="E13" s="20"/>
    </row>
    <row r="14" spans="1:15" ht="15.75" thickBot="1" x14ac:dyDescent="0.3">
      <c r="A14" s="46" t="s">
        <v>45</v>
      </c>
      <c r="B14" s="47"/>
      <c r="C14" s="47"/>
      <c r="D14" s="48">
        <f>C13-C12</f>
        <v>3.1752000000000002</v>
      </c>
      <c r="E14" s="49">
        <f>D14*O10/O5</f>
        <v>3728.454545454546</v>
      </c>
      <c r="N14" s="50" t="s">
        <v>46</v>
      </c>
    </row>
    <row r="15" spans="1:15" ht="15.75" thickBot="1" x14ac:dyDescent="0.3">
      <c r="N15" s="51" t="s">
        <v>47</v>
      </c>
    </row>
    <row r="16" spans="1:15" ht="15.75" thickBot="1" x14ac:dyDescent="0.3">
      <c r="A16" s="52" t="s">
        <v>48</v>
      </c>
      <c r="B16" s="53"/>
      <c r="C16" s="53"/>
      <c r="D16" s="53"/>
      <c r="E16" s="53"/>
      <c r="F16" s="53"/>
      <c r="G16" s="54"/>
      <c r="N16" s="55" t="s">
        <v>49</v>
      </c>
    </row>
    <row r="17" spans="1:14" ht="15.75" thickBot="1" x14ac:dyDescent="0.3">
      <c r="A17" s="37" t="s">
        <v>50</v>
      </c>
      <c r="B17" s="38" t="s">
        <v>51</v>
      </c>
      <c r="C17" s="38" t="s">
        <v>52</v>
      </c>
      <c r="D17" s="38" t="s">
        <v>53</v>
      </c>
      <c r="E17" s="38" t="s">
        <v>54</v>
      </c>
      <c r="F17" s="38" t="s">
        <v>55</v>
      </c>
      <c r="G17" s="39" t="s">
        <v>56</v>
      </c>
      <c r="N17" s="56" t="s">
        <v>57</v>
      </c>
    </row>
    <row r="18" spans="1:14" x14ac:dyDescent="0.25">
      <c r="A18" s="8" t="s">
        <v>58</v>
      </c>
      <c r="B18" s="57">
        <f>J8+(L5-L4)</f>
        <v>6867.7198748920491</v>
      </c>
      <c r="C18" s="57">
        <f>B18/$O$8</f>
        <v>6.8677198748920487</v>
      </c>
      <c r="D18" s="57">
        <f>I8</f>
        <v>62.750739973632932</v>
      </c>
      <c r="E18" s="57">
        <f>D18/$O$8</f>
        <v>6.2750739973632938E-2</v>
      </c>
      <c r="F18" s="57">
        <v>0</v>
      </c>
      <c r="G18" s="58">
        <f>F18/$O$8</f>
        <v>0</v>
      </c>
    </row>
    <row r="19" spans="1:14" x14ac:dyDescent="0.25">
      <c r="A19" s="15" t="s">
        <v>59</v>
      </c>
      <c r="B19" s="17">
        <f>E14</f>
        <v>3728.454545454546</v>
      </c>
      <c r="C19" s="17">
        <f t="shared" ref="C19:C21" si="1">B19/$O$8</f>
        <v>3.7284545454545461</v>
      </c>
      <c r="D19" s="17">
        <v>0</v>
      </c>
      <c r="E19" s="17">
        <f t="shared" ref="E19:E21" si="2">D19/$O$8</f>
        <v>0</v>
      </c>
      <c r="F19" s="17">
        <f>B19</f>
        <v>3728.454545454546</v>
      </c>
      <c r="G19" s="59">
        <f t="shared" ref="G19:G20" si="3">F19/$O$8</f>
        <v>3.7284545454545461</v>
      </c>
    </row>
    <row r="20" spans="1:14" ht="15.75" thickBot="1" x14ac:dyDescent="0.3">
      <c r="A20" s="46" t="s">
        <v>60</v>
      </c>
      <c r="B20" s="60">
        <f>0</f>
        <v>0</v>
      </c>
      <c r="C20" s="60">
        <f t="shared" si="1"/>
        <v>0</v>
      </c>
      <c r="D20" s="60">
        <f>L5</f>
        <v>6804.9691349184159</v>
      </c>
      <c r="E20" s="60">
        <f t="shared" si="2"/>
        <v>6.8049691349184158</v>
      </c>
      <c r="F20" s="60">
        <v>0</v>
      </c>
      <c r="G20" s="61">
        <f t="shared" si="3"/>
        <v>0</v>
      </c>
    </row>
    <row r="21" spans="1:14" ht="15.75" thickBot="1" x14ac:dyDescent="0.3">
      <c r="A21" s="30" t="s">
        <v>61</v>
      </c>
      <c r="B21" s="34">
        <f>SUM(B18:B20)</f>
        <v>10596.174420346595</v>
      </c>
      <c r="C21" s="34">
        <f t="shared" si="1"/>
        <v>10.596174420346594</v>
      </c>
      <c r="D21" s="34">
        <f>SUM(D18:D20)</f>
        <v>6867.7198748920491</v>
      </c>
      <c r="E21" s="34">
        <f t="shared" si="2"/>
        <v>6.8677198748920487</v>
      </c>
      <c r="F21" s="34">
        <f>SUM(F18:F20)</f>
        <v>3728.454545454546</v>
      </c>
      <c r="G21" s="62">
        <f>SUM(G18:G20)</f>
        <v>3.7284545454545461</v>
      </c>
    </row>
  </sheetData>
  <mergeCells count="5">
    <mergeCell ref="A1:L1"/>
    <mergeCell ref="N2:O2"/>
    <mergeCell ref="A6:L6"/>
    <mergeCell ref="A10:E10"/>
    <mergeCell ref="A16:G1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D5774-4C01-4876-BCEC-B0F0B91B8BCF}">
  <dimension ref="A1:O34"/>
  <sheetViews>
    <sheetView workbookViewId="0">
      <selection activeCell="G34" sqref="G34"/>
    </sheetView>
  </sheetViews>
  <sheetFormatPr defaultRowHeight="15" x14ac:dyDescent="0.25"/>
  <cols>
    <col min="1" max="1" width="30.28515625" bestFit="1" customWidth="1"/>
    <col min="2" max="2" width="22.85546875" bestFit="1" customWidth="1"/>
    <col min="3" max="3" width="22.42578125" bestFit="1" customWidth="1"/>
    <col min="4" max="4" width="26.28515625" bestFit="1" customWidth="1"/>
    <col min="5" max="5" width="29" bestFit="1" customWidth="1"/>
    <col min="6" max="6" width="26.28515625" bestFit="1" customWidth="1"/>
    <col min="7" max="7" width="31.42578125" bestFit="1" customWidth="1"/>
    <col min="8" max="8" width="27.7109375" bestFit="1" customWidth="1"/>
    <col min="9" max="9" width="17.7109375" bestFit="1" customWidth="1"/>
    <col min="10" max="10" width="23.85546875" bestFit="1" customWidth="1"/>
    <col min="11" max="11" width="14.28515625" bestFit="1" customWidth="1"/>
    <col min="12" max="12" width="15.28515625" bestFit="1" customWidth="1"/>
    <col min="14" max="14" width="24.42578125" bestFit="1" customWidth="1"/>
  </cols>
  <sheetData>
    <row r="1" spans="1:15" ht="15.75" thickBot="1" x14ac:dyDescent="0.3">
      <c r="A1" s="63" t="s">
        <v>62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5"/>
    </row>
    <row r="2" spans="1:15" ht="15.75" thickBot="1" x14ac:dyDescent="0.3">
      <c r="A2" s="37" t="s">
        <v>63</v>
      </c>
      <c r="B2" s="38" t="s">
        <v>64</v>
      </c>
      <c r="C2" s="38" t="s">
        <v>65</v>
      </c>
      <c r="D2" s="38" t="s">
        <v>66</v>
      </c>
      <c r="E2" s="38" t="s">
        <v>67</v>
      </c>
      <c r="F2" s="38" t="s">
        <v>68</v>
      </c>
      <c r="G2" s="38" t="s">
        <v>69</v>
      </c>
      <c r="H2" s="38" t="s">
        <v>70</v>
      </c>
      <c r="I2" s="38" t="s">
        <v>71</v>
      </c>
      <c r="J2" s="38" t="s">
        <v>72</v>
      </c>
      <c r="K2" s="38" t="s">
        <v>73</v>
      </c>
      <c r="L2" s="39" t="s">
        <v>74</v>
      </c>
      <c r="N2" s="1" t="s">
        <v>75</v>
      </c>
      <c r="O2" s="3"/>
    </row>
    <row r="3" spans="1:15" x14ac:dyDescent="0.25">
      <c r="A3" s="8" t="s">
        <v>76</v>
      </c>
      <c r="B3" s="40">
        <v>0.9</v>
      </c>
      <c r="C3" s="66">
        <f>B3*$O$22</f>
        <v>2.2859999999999998E-2</v>
      </c>
      <c r="D3" s="40">
        <v>1</v>
      </c>
      <c r="E3" s="40">
        <v>1</v>
      </c>
      <c r="F3" s="66">
        <f>E3*$O$23</f>
        <v>0.30480000000000002</v>
      </c>
      <c r="G3" s="40" t="s">
        <v>77</v>
      </c>
      <c r="H3" s="67">
        <f>$O$8/(PI()*C3^2/4)</f>
        <v>0.15381634566264385</v>
      </c>
      <c r="I3" s="67">
        <f>H3*C3/$O$6</f>
        <v>1465.1006924366825</v>
      </c>
      <c r="J3" s="66">
        <f>0.002/1000/C3</f>
        <v>8.7489063867016631E-5</v>
      </c>
      <c r="K3" s="67">
        <f>16/I3</f>
        <v>1.0920751100997432E-2</v>
      </c>
      <c r="L3" s="68">
        <f>K3*4*F3/C3</f>
        <v>0.58244005871986304</v>
      </c>
      <c r="N3" s="69" t="s">
        <v>3</v>
      </c>
      <c r="O3" s="14">
        <v>298</v>
      </c>
    </row>
    <row r="4" spans="1:15" x14ac:dyDescent="0.25">
      <c r="A4" s="15" t="s">
        <v>78</v>
      </c>
      <c r="B4" s="16">
        <v>0.9</v>
      </c>
      <c r="C4" s="70">
        <f t="shared" ref="C4:C19" si="0">B4*$O$22</f>
        <v>2.2859999999999998E-2</v>
      </c>
      <c r="D4" s="16">
        <v>1</v>
      </c>
      <c r="E4" s="16" t="s">
        <v>79</v>
      </c>
      <c r="F4" s="70" t="s">
        <v>79</v>
      </c>
      <c r="G4" s="16" t="s">
        <v>77</v>
      </c>
      <c r="H4" s="71">
        <f t="shared" ref="H4:H17" si="1">$O$8/(PI()*C4^2/4)</f>
        <v>0.15381634566264385</v>
      </c>
      <c r="I4" s="71">
        <f t="shared" ref="I4:I19" si="2">H4*C4/$O$6</f>
        <v>1465.1006924366825</v>
      </c>
      <c r="J4" s="70" t="s">
        <v>79</v>
      </c>
      <c r="K4" s="71" t="s">
        <v>79</v>
      </c>
      <c r="L4" s="72">
        <f>300/I5+(0.017*(1+3.5/B5^0.3))</f>
        <v>0.28317480649067917</v>
      </c>
      <c r="N4" s="15" t="s">
        <v>80</v>
      </c>
      <c r="O4" s="20">
        <v>1000</v>
      </c>
    </row>
    <row r="5" spans="1:15" x14ac:dyDescent="0.25">
      <c r="A5" s="15" t="s">
        <v>81</v>
      </c>
      <c r="B5" s="16">
        <v>0.9</v>
      </c>
      <c r="C5" s="70">
        <f t="shared" si="0"/>
        <v>2.2859999999999998E-2</v>
      </c>
      <c r="D5" s="16">
        <v>1</v>
      </c>
      <c r="E5" s="16" t="s">
        <v>79</v>
      </c>
      <c r="F5" s="70" t="s">
        <v>79</v>
      </c>
      <c r="G5" s="16" t="s">
        <v>77</v>
      </c>
      <c r="H5" s="71">
        <f t="shared" si="1"/>
        <v>0.15381634566264385</v>
      </c>
      <c r="I5" s="71">
        <f t="shared" si="2"/>
        <v>1465.1006924366825</v>
      </c>
      <c r="J5" s="70" t="s">
        <v>79</v>
      </c>
      <c r="K5" s="71" t="s">
        <v>79</v>
      </c>
      <c r="L5" s="72">
        <f>800/I6+(0.14*(1+4/B6^0.3))</f>
        <v>1.2640208336096581</v>
      </c>
      <c r="N5" s="15" t="s">
        <v>82</v>
      </c>
      <c r="O5" s="73">
        <f>2.4*10^-3</f>
        <v>2.3999999999999998E-3</v>
      </c>
    </row>
    <row r="6" spans="1:15" x14ac:dyDescent="0.25">
      <c r="A6" s="15" t="s">
        <v>83</v>
      </c>
      <c r="B6" s="16">
        <v>0.9</v>
      </c>
      <c r="C6" s="70">
        <f t="shared" si="0"/>
        <v>2.2859999999999998E-2</v>
      </c>
      <c r="D6" s="16">
        <v>1</v>
      </c>
      <c r="E6" s="16">
        <v>0.5</v>
      </c>
      <c r="F6" s="70">
        <f>E6*$O$23</f>
        <v>0.15240000000000001</v>
      </c>
      <c r="G6" s="16" t="s">
        <v>77</v>
      </c>
      <c r="H6" s="71">
        <f t="shared" si="1"/>
        <v>0.15381634566264385</v>
      </c>
      <c r="I6" s="71">
        <f t="shared" si="2"/>
        <v>1465.1006924366825</v>
      </c>
      <c r="J6" s="70">
        <f>0.002/1000/C6</f>
        <v>8.7489063867016631E-5</v>
      </c>
      <c r="K6" s="71">
        <f t="shared" ref="K6:K19" si="3">16/I6</f>
        <v>1.0920751100997432E-2</v>
      </c>
      <c r="L6" s="72">
        <f t="shared" ref="L6:L19" si="4">K6*4*F6/C6</f>
        <v>0.29122002935993152</v>
      </c>
      <c r="N6" s="15" t="s">
        <v>84</v>
      </c>
      <c r="O6" s="73">
        <f>O5/O4</f>
        <v>2.3999999999999999E-6</v>
      </c>
    </row>
    <row r="7" spans="1:15" x14ac:dyDescent="0.25">
      <c r="A7" s="15" t="s">
        <v>85</v>
      </c>
      <c r="B7" s="16">
        <v>0.9</v>
      </c>
      <c r="C7" s="70">
        <f t="shared" si="0"/>
        <v>2.2859999999999998E-2</v>
      </c>
      <c r="D7" s="16">
        <v>1</v>
      </c>
      <c r="E7" s="16">
        <v>0.5</v>
      </c>
      <c r="F7" s="70">
        <f>E7*$O$23</f>
        <v>0.15240000000000001</v>
      </c>
      <c r="G7" s="16" t="s">
        <v>77</v>
      </c>
      <c r="H7" s="71">
        <f t="shared" si="1"/>
        <v>0.15381634566264385</v>
      </c>
      <c r="I7" s="71">
        <f t="shared" si="2"/>
        <v>1465.1006924366825</v>
      </c>
      <c r="J7" s="70">
        <f t="shared" ref="J7:J19" si="5">0.002/1000/C7</f>
        <v>8.7489063867016631E-5</v>
      </c>
      <c r="K7" s="71">
        <f t="shared" si="3"/>
        <v>1.0920751100997432E-2</v>
      </c>
      <c r="L7" s="72">
        <f t="shared" si="4"/>
        <v>0.29122002935993152</v>
      </c>
      <c r="N7" s="15" t="s">
        <v>86</v>
      </c>
      <c r="O7" s="20">
        <v>1</v>
      </c>
    </row>
    <row r="8" spans="1:15" x14ac:dyDescent="0.25">
      <c r="A8" s="15" t="s">
        <v>87</v>
      </c>
      <c r="B8" s="16">
        <v>0.9</v>
      </c>
      <c r="C8" s="70">
        <f t="shared" si="0"/>
        <v>2.2859999999999998E-2</v>
      </c>
      <c r="D8" s="16">
        <v>1</v>
      </c>
      <c r="E8" s="16">
        <v>0.5</v>
      </c>
      <c r="F8" s="70">
        <f>E8*$O$23</f>
        <v>0.15240000000000001</v>
      </c>
      <c r="G8" s="16" t="s">
        <v>77</v>
      </c>
      <c r="H8" s="71">
        <f t="shared" si="1"/>
        <v>0.15381634566264385</v>
      </c>
      <c r="I8" s="71">
        <f t="shared" si="2"/>
        <v>1465.1006924366825</v>
      </c>
      <c r="J8" s="70">
        <f t="shared" si="5"/>
        <v>8.7489063867016631E-5</v>
      </c>
      <c r="K8" s="71">
        <f t="shared" si="3"/>
        <v>1.0920751100997432E-2</v>
      </c>
      <c r="L8" s="72">
        <f t="shared" si="4"/>
        <v>0.29122002935993152</v>
      </c>
      <c r="N8" s="15" t="s">
        <v>88</v>
      </c>
      <c r="O8" s="73">
        <f>O7/O16*O18/O20</f>
        <v>6.3131313131313131E-5</v>
      </c>
    </row>
    <row r="9" spans="1:15" ht="15.75" thickBot="1" x14ac:dyDescent="0.3">
      <c r="A9" s="15" t="s">
        <v>81</v>
      </c>
      <c r="B9" s="16">
        <v>0.9</v>
      </c>
      <c r="C9" s="70">
        <f t="shared" si="0"/>
        <v>2.2859999999999998E-2</v>
      </c>
      <c r="D9" s="16">
        <v>1</v>
      </c>
      <c r="E9" s="16" t="s">
        <v>79</v>
      </c>
      <c r="F9" s="70" t="s">
        <v>79</v>
      </c>
      <c r="G9" s="16" t="s">
        <v>77</v>
      </c>
      <c r="H9" s="71">
        <f t="shared" si="1"/>
        <v>0.15381634566264385</v>
      </c>
      <c r="I9" s="71">
        <f t="shared" si="2"/>
        <v>1465.1006924366825</v>
      </c>
      <c r="J9" s="70" t="s">
        <v>79</v>
      </c>
      <c r="K9" s="71" t="s">
        <v>79</v>
      </c>
      <c r="L9" s="72">
        <f>800/I10+(0.14*(1+4/B10^0.3))</f>
        <v>1.2640208336096581</v>
      </c>
      <c r="N9" s="46" t="s">
        <v>89</v>
      </c>
      <c r="O9" s="44">
        <f>O8*O4</f>
        <v>6.3131313131313135E-2</v>
      </c>
    </row>
    <row r="10" spans="1:15" ht="15.75" thickBot="1" x14ac:dyDescent="0.3">
      <c r="A10" s="15" t="s">
        <v>90</v>
      </c>
      <c r="B10" s="16">
        <v>0.9</v>
      </c>
      <c r="C10" s="70">
        <f t="shared" si="0"/>
        <v>2.2859999999999998E-2</v>
      </c>
      <c r="D10" s="16">
        <v>1</v>
      </c>
      <c r="E10" s="16" t="s">
        <v>79</v>
      </c>
      <c r="F10" s="70" t="s">
        <v>79</v>
      </c>
      <c r="G10" s="16" t="s">
        <v>77</v>
      </c>
      <c r="H10" s="71">
        <f t="shared" si="1"/>
        <v>0.15381634566264385</v>
      </c>
      <c r="I10" s="71">
        <f t="shared" si="2"/>
        <v>1465.1006924366825</v>
      </c>
      <c r="J10" s="70" t="s">
        <v>79</v>
      </c>
      <c r="K10" s="71" t="s">
        <v>79</v>
      </c>
      <c r="L10" s="72">
        <f>300/I11+(0.017*(1+3.5/B11^0.3))</f>
        <v>0.28317480649067917</v>
      </c>
    </row>
    <row r="11" spans="1:15" ht="15.75" thickBot="1" x14ac:dyDescent="0.3">
      <c r="A11" s="15" t="s">
        <v>91</v>
      </c>
      <c r="B11" s="16">
        <v>0.9</v>
      </c>
      <c r="C11" s="70">
        <f t="shared" si="0"/>
        <v>2.2859999999999998E-2</v>
      </c>
      <c r="D11" s="16">
        <v>1</v>
      </c>
      <c r="E11" s="16">
        <v>1</v>
      </c>
      <c r="F11" s="70">
        <f>E11*$O$23</f>
        <v>0.30480000000000002</v>
      </c>
      <c r="G11" s="16" t="s">
        <v>77</v>
      </c>
      <c r="H11" s="71">
        <f t="shared" si="1"/>
        <v>0.15381634566264385</v>
      </c>
      <c r="I11" s="71">
        <f t="shared" si="2"/>
        <v>1465.1006924366825</v>
      </c>
      <c r="J11" s="70">
        <f t="shared" si="5"/>
        <v>8.7489063867016631E-5</v>
      </c>
      <c r="K11" s="71">
        <f t="shared" si="3"/>
        <v>1.0920751100997432E-2</v>
      </c>
      <c r="L11" s="72">
        <f t="shared" si="4"/>
        <v>0.58244005871986304</v>
      </c>
      <c r="N11" s="74" t="s">
        <v>92</v>
      </c>
      <c r="O11" s="75"/>
    </row>
    <row r="12" spans="1:15" x14ac:dyDescent="0.25">
      <c r="A12" s="15" t="s">
        <v>87</v>
      </c>
      <c r="B12" s="16">
        <v>0.9</v>
      </c>
      <c r="C12" s="70">
        <f t="shared" si="0"/>
        <v>2.2859999999999998E-2</v>
      </c>
      <c r="D12" s="16">
        <v>1</v>
      </c>
      <c r="E12" s="16">
        <v>1</v>
      </c>
      <c r="F12" s="70">
        <f>E12*$O$23</f>
        <v>0.30480000000000002</v>
      </c>
      <c r="G12" s="16" t="s">
        <v>77</v>
      </c>
      <c r="H12" s="71">
        <f t="shared" si="1"/>
        <v>0.15381634566264385</v>
      </c>
      <c r="I12" s="71">
        <f t="shared" si="2"/>
        <v>1465.1006924366825</v>
      </c>
      <c r="J12" s="70">
        <f t="shared" si="5"/>
        <v>8.7489063867016631E-5</v>
      </c>
      <c r="K12" s="71">
        <f t="shared" si="3"/>
        <v>1.0920751100997432E-2</v>
      </c>
      <c r="L12" s="72">
        <f t="shared" si="4"/>
        <v>0.58244005871986304</v>
      </c>
      <c r="N12" s="13" t="s">
        <v>15</v>
      </c>
      <c r="O12" s="14">
        <v>8.3000000000000004E-2</v>
      </c>
    </row>
    <row r="13" spans="1:15" x14ac:dyDescent="0.25">
      <c r="A13" s="15" t="s">
        <v>81</v>
      </c>
      <c r="B13" s="16">
        <v>0.9</v>
      </c>
      <c r="C13" s="70">
        <f t="shared" si="0"/>
        <v>2.2859999999999998E-2</v>
      </c>
      <c r="D13" s="16">
        <v>1</v>
      </c>
      <c r="E13" s="16" t="s">
        <v>79</v>
      </c>
      <c r="F13" s="70" t="s">
        <v>79</v>
      </c>
      <c r="G13" s="16" t="s">
        <v>77</v>
      </c>
      <c r="H13" s="71">
        <f t="shared" si="1"/>
        <v>0.15381634566264385</v>
      </c>
      <c r="I13" s="71">
        <f t="shared" si="2"/>
        <v>1465.1006924366825</v>
      </c>
      <c r="J13" s="70" t="s">
        <v>79</v>
      </c>
      <c r="K13" s="71" t="s">
        <v>79</v>
      </c>
      <c r="L13" s="72">
        <f>800/I14+(0.14*(1+4/B14^0.3))</f>
        <v>1.2640208336096581</v>
      </c>
      <c r="N13" s="19" t="s">
        <v>17</v>
      </c>
      <c r="O13" s="20">
        <v>14.5</v>
      </c>
    </row>
    <row r="14" spans="1:15" x14ac:dyDescent="0.25">
      <c r="A14" s="15" t="s">
        <v>93</v>
      </c>
      <c r="B14" s="16">
        <v>0.9</v>
      </c>
      <c r="C14" s="70">
        <f t="shared" si="0"/>
        <v>2.2859999999999998E-2</v>
      </c>
      <c r="D14" s="16">
        <v>1</v>
      </c>
      <c r="E14" s="16">
        <v>1</v>
      </c>
      <c r="F14" s="70">
        <f>E14*$O$23</f>
        <v>0.30480000000000002</v>
      </c>
      <c r="G14" s="16" t="s">
        <v>77</v>
      </c>
      <c r="H14" s="71">
        <f t="shared" si="1"/>
        <v>0.15381634566264385</v>
      </c>
      <c r="I14" s="71">
        <f t="shared" si="2"/>
        <v>1465.1006924366825</v>
      </c>
      <c r="J14" s="70">
        <f t="shared" si="5"/>
        <v>8.7489063867016631E-5</v>
      </c>
      <c r="K14" s="71">
        <f t="shared" si="3"/>
        <v>1.0920751100997432E-2</v>
      </c>
      <c r="L14" s="72">
        <f t="shared" si="4"/>
        <v>0.58244005871986304</v>
      </c>
      <c r="N14" s="19" t="s">
        <v>36</v>
      </c>
      <c r="O14" s="20">
        <f>10*31</f>
        <v>310</v>
      </c>
    </row>
    <row r="15" spans="1:15" x14ac:dyDescent="0.25">
      <c r="A15" s="15" t="s">
        <v>87</v>
      </c>
      <c r="B15" s="16">
        <v>0.9</v>
      </c>
      <c r="C15" s="70">
        <f t="shared" si="0"/>
        <v>2.2859999999999998E-2</v>
      </c>
      <c r="D15" s="16">
        <v>1</v>
      </c>
      <c r="E15" s="16">
        <v>1</v>
      </c>
      <c r="F15" s="70">
        <f>E15*$O$23</f>
        <v>0.30480000000000002</v>
      </c>
      <c r="G15" s="16" t="s">
        <v>77</v>
      </c>
      <c r="H15" s="71">
        <f t="shared" si="1"/>
        <v>0.15381634566264385</v>
      </c>
      <c r="I15" s="71">
        <f t="shared" si="2"/>
        <v>1465.1006924366825</v>
      </c>
      <c r="J15" s="70">
        <f t="shared" si="5"/>
        <v>8.7489063867016631E-5</v>
      </c>
      <c r="K15" s="71">
        <f t="shared" si="3"/>
        <v>1.0920751100997432E-2</v>
      </c>
      <c r="L15" s="72">
        <f t="shared" si="4"/>
        <v>0.58244005871986304</v>
      </c>
      <c r="N15" s="19" t="s">
        <v>94</v>
      </c>
      <c r="O15" s="20">
        <f>O14/O16*O18</f>
        <v>1.1742424242424243</v>
      </c>
    </row>
    <row r="16" spans="1:15" x14ac:dyDescent="0.25">
      <c r="A16" s="15" t="s">
        <v>81</v>
      </c>
      <c r="B16" s="16">
        <v>0.9</v>
      </c>
      <c r="C16" s="70">
        <f t="shared" si="0"/>
        <v>2.2859999999999998E-2</v>
      </c>
      <c r="D16" s="16">
        <v>1</v>
      </c>
      <c r="E16" s="16" t="s">
        <v>79</v>
      </c>
      <c r="F16" s="70" t="s">
        <v>79</v>
      </c>
      <c r="G16" s="16" t="s">
        <v>77</v>
      </c>
      <c r="H16" s="71">
        <f t="shared" si="1"/>
        <v>0.15381634566264385</v>
      </c>
      <c r="I16" s="71">
        <f t="shared" si="2"/>
        <v>1465.1006924366825</v>
      </c>
      <c r="J16" s="70" t="s">
        <v>79</v>
      </c>
      <c r="K16" s="71" t="s">
        <v>79</v>
      </c>
      <c r="L16" s="72">
        <f>800/I17+(0.14*(1+4/B17^0.3))</f>
        <v>1.2640208336096581</v>
      </c>
      <c r="N16" s="19" t="s">
        <v>19</v>
      </c>
      <c r="O16" s="20">
        <v>0.26400000000000001</v>
      </c>
    </row>
    <row r="17" spans="1:15" x14ac:dyDescent="0.25">
      <c r="A17" s="15" t="s">
        <v>87</v>
      </c>
      <c r="B17" s="16">
        <v>0.9</v>
      </c>
      <c r="C17" s="70">
        <f t="shared" si="0"/>
        <v>2.2859999999999998E-2</v>
      </c>
      <c r="D17" s="16">
        <v>1</v>
      </c>
      <c r="E17" s="16">
        <v>1</v>
      </c>
      <c r="F17" s="70">
        <f>E17*$O$23</f>
        <v>0.30480000000000002</v>
      </c>
      <c r="G17" s="16" t="s">
        <v>77</v>
      </c>
      <c r="H17" s="71">
        <f t="shared" si="1"/>
        <v>0.15381634566264385</v>
      </c>
      <c r="I17" s="71">
        <f t="shared" si="2"/>
        <v>1465.1006924366825</v>
      </c>
      <c r="J17" s="70">
        <f t="shared" si="5"/>
        <v>8.7489063867016631E-5</v>
      </c>
      <c r="K17" s="71">
        <f t="shared" si="3"/>
        <v>1.0920751100997432E-2</v>
      </c>
      <c r="L17" s="72">
        <f t="shared" si="4"/>
        <v>0.58244005871986304</v>
      </c>
      <c r="N17" s="19" t="s">
        <v>21</v>
      </c>
      <c r="O17" s="20">
        <f>O12*O13*O16</f>
        <v>0.31772400000000001</v>
      </c>
    </row>
    <row r="18" spans="1:15" x14ac:dyDescent="0.25">
      <c r="A18" s="15" t="s">
        <v>81</v>
      </c>
      <c r="B18" s="16">
        <v>0.9</v>
      </c>
      <c r="C18" s="70">
        <f t="shared" si="0"/>
        <v>2.2859999999999998E-2</v>
      </c>
      <c r="D18" s="16">
        <v>1</v>
      </c>
      <c r="E18" s="76" t="s">
        <v>79</v>
      </c>
      <c r="F18" s="70" t="s">
        <v>79</v>
      </c>
      <c r="G18" s="16" t="s">
        <v>77</v>
      </c>
      <c r="H18" s="71">
        <f>$O$8/(PI()*C18^2/4)</f>
        <v>0.15381634566264385</v>
      </c>
      <c r="I18" s="71">
        <f>H18*C18/$O$6</f>
        <v>1465.1006924366825</v>
      </c>
      <c r="J18" s="70" t="s">
        <v>79</v>
      </c>
      <c r="K18" s="71" t="s">
        <v>79</v>
      </c>
      <c r="L18" s="72">
        <f>800/I19+(0.14*(1+4/B19^0.3))</f>
        <v>1.2640208336096581</v>
      </c>
      <c r="N18" s="19" t="s">
        <v>95</v>
      </c>
      <c r="O18" s="73">
        <v>1E-3</v>
      </c>
    </row>
    <row r="19" spans="1:15" ht="15.75" thickBot="1" x14ac:dyDescent="0.3">
      <c r="A19" s="46" t="s">
        <v>96</v>
      </c>
      <c r="B19" s="77">
        <v>0.9</v>
      </c>
      <c r="C19" s="78">
        <f t="shared" si="0"/>
        <v>2.2859999999999998E-2</v>
      </c>
      <c r="D19" s="77">
        <v>1</v>
      </c>
      <c r="E19" s="79">
        <v>0.5</v>
      </c>
      <c r="F19" s="78">
        <f>E19*$O$23</f>
        <v>0.15240000000000001</v>
      </c>
      <c r="G19" s="77" t="s">
        <v>77</v>
      </c>
      <c r="H19" s="80">
        <f>$O$8/(PI()*C19^2/4)</f>
        <v>0.15381634566264385</v>
      </c>
      <c r="I19" s="80">
        <f t="shared" si="2"/>
        <v>1465.1006924366825</v>
      </c>
      <c r="J19" s="78">
        <f t="shared" si="5"/>
        <v>8.7489063867016631E-5</v>
      </c>
      <c r="K19" s="80">
        <f t="shared" si="3"/>
        <v>1.0920751100997432E-2</v>
      </c>
      <c r="L19" s="81">
        <f t="shared" si="4"/>
        <v>0.29122002935993152</v>
      </c>
      <c r="N19" s="19" t="s">
        <v>43</v>
      </c>
      <c r="O19" s="20">
        <v>44.01</v>
      </c>
    </row>
    <row r="20" spans="1:15" ht="15.75" thickBot="1" x14ac:dyDescent="0.3">
      <c r="E20" s="82"/>
      <c r="N20" s="19" t="s">
        <v>97</v>
      </c>
      <c r="O20" s="20">
        <v>60</v>
      </c>
    </row>
    <row r="21" spans="1:15" ht="15.75" thickBot="1" x14ac:dyDescent="0.3">
      <c r="A21" s="63" t="s">
        <v>98</v>
      </c>
      <c r="B21" s="64"/>
      <c r="C21" s="64"/>
      <c r="D21" s="64"/>
      <c r="E21" s="64"/>
      <c r="F21" s="64"/>
      <c r="G21" s="64"/>
      <c r="H21" s="64"/>
      <c r="I21" s="65"/>
      <c r="N21" s="19" t="s">
        <v>99</v>
      </c>
      <c r="O21" s="20">
        <v>9.8000000000000007</v>
      </c>
    </row>
    <row r="22" spans="1:15" ht="15.75" thickBot="1" x14ac:dyDescent="0.3">
      <c r="A22" s="37" t="s">
        <v>1</v>
      </c>
      <c r="B22" s="38" t="s">
        <v>100</v>
      </c>
      <c r="C22" s="38" t="s">
        <v>101</v>
      </c>
      <c r="D22" s="38" t="s">
        <v>102</v>
      </c>
      <c r="E22" s="38" t="s">
        <v>103</v>
      </c>
      <c r="F22" s="38" t="s">
        <v>104</v>
      </c>
      <c r="G22" s="38" t="s">
        <v>105</v>
      </c>
      <c r="H22" s="38" t="s">
        <v>106</v>
      </c>
      <c r="I22" s="39" t="s">
        <v>107</v>
      </c>
      <c r="N22" s="19" t="s">
        <v>108</v>
      </c>
      <c r="O22" s="20">
        <v>2.5399999999999999E-2</v>
      </c>
    </row>
    <row r="23" spans="1:15" x14ac:dyDescent="0.25">
      <c r="A23" s="8" t="s">
        <v>109</v>
      </c>
      <c r="B23" s="40">
        <v>30</v>
      </c>
      <c r="C23" s="66">
        <f>B23*$O$25</f>
        <v>206844</v>
      </c>
      <c r="D23" s="66">
        <f>C23/$O$4/$O$21</f>
        <v>21.106530612244896</v>
      </c>
      <c r="E23" s="40">
        <v>5</v>
      </c>
      <c r="F23" s="66">
        <f>E23*O23</f>
        <v>1.524</v>
      </c>
      <c r="G23" s="67" cm="1">
        <f t="array" ref="G23">SUM(L3:L19/(C3:C19)^4)</f>
        <v>42279094.794490069</v>
      </c>
      <c r="H23" s="67">
        <f>G23*8*O8^2/(O21*PI()^2)</f>
        <v>1.3937327068563441E-2</v>
      </c>
      <c r="I23" s="83">
        <f>H23+F23+D23</f>
        <v>22.644467939313458</v>
      </c>
      <c r="N23" s="19" t="s">
        <v>110</v>
      </c>
      <c r="O23" s="20">
        <v>0.30480000000000002</v>
      </c>
    </row>
    <row r="24" spans="1:15" x14ac:dyDescent="0.25">
      <c r="A24" s="15" t="s">
        <v>111</v>
      </c>
      <c r="B24" s="16">
        <v>35</v>
      </c>
      <c r="C24" s="70">
        <f t="shared" ref="C24:C27" si="6">B24*$O$25</f>
        <v>241318</v>
      </c>
      <c r="D24" s="70">
        <f>C24/$O$4/$O$21</f>
        <v>24.624285714285715</v>
      </c>
      <c r="E24" s="45"/>
      <c r="F24" s="45"/>
      <c r="G24" s="45"/>
      <c r="H24" s="45"/>
      <c r="I24" s="84">
        <f>H24+F24+D24</f>
        <v>24.624285714285715</v>
      </c>
      <c r="N24" s="85" t="s">
        <v>112</v>
      </c>
      <c r="O24" s="86">
        <f>O14/O16*O18*O4</f>
        <v>1174.2424242424242</v>
      </c>
    </row>
    <row r="25" spans="1:15" ht="15.75" thickBot="1" x14ac:dyDescent="0.3">
      <c r="A25" s="15" t="s">
        <v>113</v>
      </c>
      <c r="B25" s="16">
        <v>35</v>
      </c>
      <c r="C25" s="70">
        <f t="shared" si="6"/>
        <v>241318</v>
      </c>
      <c r="D25" s="70">
        <f>C25/$O$4/$O$21</f>
        <v>24.624285714285715</v>
      </c>
      <c r="E25" s="45"/>
      <c r="F25" s="45"/>
      <c r="G25" s="45"/>
      <c r="H25" s="45"/>
      <c r="I25" s="84">
        <f t="shared" ref="I25:I27" si="7">H25+F25+D25</f>
        <v>24.624285714285715</v>
      </c>
      <c r="N25" s="43" t="s">
        <v>114</v>
      </c>
      <c r="O25" s="44">
        <v>6894.8</v>
      </c>
    </row>
    <row r="26" spans="1:15" ht="15.75" thickBot="1" x14ac:dyDescent="0.3">
      <c r="A26" s="15" t="s">
        <v>115</v>
      </c>
      <c r="B26" s="16">
        <v>20</v>
      </c>
      <c r="C26" s="70">
        <f t="shared" si="6"/>
        <v>137896</v>
      </c>
      <c r="D26" s="70">
        <f>C26/$O$4/$O$21</f>
        <v>14.071020408163262</v>
      </c>
      <c r="E26" s="45"/>
      <c r="F26" s="45"/>
      <c r="G26" s="45"/>
      <c r="H26" s="45"/>
      <c r="I26" s="84">
        <f t="shared" si="7"/>
        <v>14.071020408163262</v>
      </c>
    </row>
    <row r="27" spans="1:15" ht="15.75" thickBot="1" x14ac:dyDescent="0.3">
      <c r="A27" s="46" t="s">
        <v>116</v>
      </c>
      <c r="B27" s="77">
        <v>2</v>
      </c>
      <c r="C27" s="78">
        <f t="shared" si="6"/>
        <v>13789.6</v>
      </c>
      <c r="D27" s="78">
        <f>C27/$O$4/$O$21</f>
        <v>1.4071020408163264</v>
      </c>
      <c r="E27" s="47"/>
      <c r="F27" s="47"/>
      <c r="G27" s="47"/>
      <c r="H27" s="47"/>
      <c r="I27" s="87">
        <f t="shared" si="7"/>
        <v>1.4071020408163264</v>
      </c>
      <c r="N27" s="50" t="s">
        <v>46</v>
      </c>
    </row>
    <row r="28" spans="1:15" ht="15.75" thickBot="1" x14ac:dyDescent="0.3">
      <c r="N28" s="51" t="s">
        <v>47</v>
      </c>
    </row>
    <row r="29" spans="1:15" ht="15.75" thickBot="1" x14ac:dyDescent="0.3">
      <c r="A29" s="63" t="s">
        <v>117</v>
      </c>
      <c r="B29" s="64"/>
      <c r="C29" s="64"/>
      <c r="D29" s="64"/>
      <c r="E29" s="64"/>
      <c r="F29" s="64"/>
      <c r="G29" s="65"/>
      <c r="N29" s="55" t="s">
        <v>49</v>
      </c>
    </row>
    <row r="30" spans="1:15" ht="15.75" thickBot="1" x14ac:dyDescent="0.3">
      <c r="A30" s="88" t="s">
        <v>118</v>
      </c>
      <c r="B30" s="89" t="s">
        <v>119</v>
      </c>
      <c r="C30" s="89" t="s">
        <v>120</v>
      </c>
      <c r="D30" s="89" t="s">
        <v>121</v>
      </c>
      <c r="E30" s="89" t="s">
        <v>122</v>
      </c>
      <c r="F30" s="89" t="s">
        <v>123</v>
      </c>
      <c r="G30" s="90" t="s">
        <v>124</v>
      </c>
      <c r="N30" s="56" t="s">
        <v>57</v>
      </c>
    </row>
    <row r="31" spans="1:15" x14ac:dyDescent="0.25">
      <c r="A31" s="13" t="s">
        <v>32</v>
      </c>
      <c r="B31" s="11">
        <v>0.7</v>
      </c>
      <c r="C31" s="10">
        <f>SUM(I23:I27)*O21*O4*O8/B31</f>
        <v>77.221986454299412</v>
      </c>
      <c r="D31" s="11">
        <f>O9</f>
        <v>6.3131313131313135E-2</v>
      </c>
      <c r="E31" s="91">
        <f>C31/D31</f>
        <v>1223.1962654361025</v>
      </c>
      <c r="F31" s="92">
        <f>C31/1000/D31/3600</f>
        <v>3.3977674039891738E-4</v>
      </c>
      <c r="G31" s="93">
        <f>F31*O24</f>
        <v>0.39898026334721359</v>
      </c>
    </row>
    <row r="32" spans="1:15" ht="15.75" thickBot="1" x14ac:dyDescent="0.3">
      <c r="A32" s="43" t="s">
        <v>125</v>
      </c>
      <c r="B32" s="79">
        <v>0.7</v>
      </c>
      <c r="C32" s="79">
        <f>240*10/B32</f>
        <v>3428.5714285714289</v>
      </c>
      <c r="D32" s="79">
        <f>O9</f>
        <v>6.3131313131313135E-2</v>
      </c>
      <c r="E32" s="94">
        <f>C32/D32</f>
        <v>54308.571428571428</v>
      </c>
      <c r="F32" s="80">
        <f>C32/1000/D32/3600</f>
        <v>1.5085714285714286E-2</v>
      </c>
      <c r="G32" s="87">
        <f>F32*O24</f>
        <v>17.714285714285715</v>
      </c>
    </row>
    <row r="34" spans="7:7" x14ac:dyDescent="0.25">
      <c r="G34" s="95"/>
    </row>
  </sheetData>
  <mergeCells count="5">
    <mergeCell ref="A1:L1"/>
    <mergeCell ref="N2:O2"/>
    <mergeCell ref="N11:O11"/>
    <mergeCell ref="A21:I21"/>
    <mergeCell ref="A29:G2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45161-1C1A-4606-A1AF-B484D81283B6}">
  <dimension ref="A1:O21"/>
  <sheetViews>
    <sheetView workbookViewId="0">
      <selection sqref="A1:XFD1048576"/>
    </sheetView>
  </sheetViews>
  <sheetFormatPr defaultRowHeight="15" x14ac:dyDescent="0.25"/>
  <cols>
    <col min="1" max="1" width="21.140625" bestFit="1" customWidth="1"/>
    <col min="2" max="3" width="22.28515625" bestFit="1" customWidth="1"/>
    <col min="4" max="4" width="16.7109375" bestFit="1" customWidth="1"/>
    <col min="5" max="5" width="20.42578125" bestFit="1" customWidth="1"/>
    <col min="6" max="6" width="22.28515625" bestFit="1" customWidth="1"/>
    <col min="7" max="7" width="23.5703125" bestFit="1" customWidth="1"/>
    <col min="8" max="8" width="32" bestFit="1" customWidth="1"/>
    <col min="9" max="9" width="37.5703125" bestFit="1" customWidth="1"/>
    <col min="10" max="10" width="13.5703125" bestFit="1" customWidth="1"/>
    <col min="11" max="11" width="7.5703125" bestFit="1" customWidth="1"/>
    <col min="12" max="12" width="14.5703125" bestFit="1" customWidth="1"/>
    <col min="14" max="14" width="24.5703125" bestFit="1" customWidth="1"/>
    <col min="18" max="18" width="8.7109375" customWidth="1"/>
  </cols>
  <sheetData>
    <row r="1" spans="1:15" ht="15.7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5" ht="15.75" thickBot="1" x14ac:dyDescent="0.3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7" t="s">
        <v>12</v>
      </c>
      <c r="N2" s="1" t="s">
        <v>13</v>
      </c>
      <c r="O2" s="3"/>
    </row>
    <row r="3" spans="1:15" x14ac:dyDescent="0.25">
      <c r="A3" s="8" t="s">
        <v>14</v>
      </c>
      <c r="B3" s="9">
        <v>15</v>
      </c>
      <c r="C3" s="9">
        <v>298</v>
      </c>
      <c r="D3" s="9">
        <f>ROUNDUP(O10*1.18,0)</f>
        <v>732</v>
      </c>
      <c r="E3" s="10">
        <f>D3/$O$5/1000</f>
        <v>2.7727272727272725</v>
      </c>
      <c r="F3" s="10">
        <f>B3*$O$11/$O$6/C3*$O$5*1000</f>
        <v>1211.2323396804065</v>
      </c>
      <c r="G3" s="10">
        <f>B3*$O$12/$O$6/C3*$O$5*1000</f>
        <v>1840.6883725598996</v>
      </c>
      <c r="H3" s="10">
        <f>B3*D3/($O$6*C3)</f>
        <v>115.96743583705549</v>
      </c>
      <c r="I3" s="10">
        <f>E3</f>
        <v>2.7727272727272725</v>
      </c>
      <c r="J3" s="10">
        <f>I3*F3</f>
        <v>3358.416941841127</v>
      </c>
      <c r="K3" s="11">
        <v>0</v>
      </c>
      <c r="L3" s="12">
        <v>0</v>
      </c>
      <c r="N3" s="13" t="s">
        <v>15</v>
      </c>
      <c r="O3" s="14">
        <v>8.3000000000000004E-2</v>
      </c>
    </row>
    <row r="4" spans="1:15" x14ac:dyDescent="0.25">
      <c r="A4" s="15" t="s">
        <v>16</v>
      </c>
      <c r="B4" s="16">
        <v>15</v>
      </c>
      <c r="C4" s="16">
        <v>298</v>
      </c>
      <c r="D4" s="16">
        <f>D3</f>
        <v>732</v>
      </c>
      <c r="E4" s="17">
        <f t="shared" ref="E4:E5" si="0">D4/$O$5/1000</f>
        <v>2.7727272727272725</v>
      </c>
      <c r="F4" s="17">
        <f>B4*$O$11/$O$6/C4*$O$5*1000</f>
        <v>1211.2323396804065</v>
      </c>
      <c r="G4" s="17">
        <f>B4*$O$12/$O$6/C4*$O$5*1000</f>
        <v>1840.6883725598996</v>
      </c>
      <c r="H4" s="10">
        <f>B4*D4/($O$6*C4)</f>
        <v>115.96743583705549</v>
      </c>
      <c r="I4" s="17">
        <f>(D4-E8)/O5/1000</f>
        <v>0</v>
      </c>
      <c r="J4" s="17">
        <f>I4*F4</f>
        <v>0</v>
      </c>
      <c r="K4" s="17">
        <f>E4-I4</f>
        <v>2.7727272727272725</v>
      </c>
      <c r="L4" s="18">
        <f>K4*G4</f>
        <v>5103.7268511888124</v>
      </c>
      <c r="N4" s="19" t="s">
        <v>17</v>
      </c>
      <c r="O4" s="20">
        <v>14.5</v>
      </c>
    </row>
    <row r="5" spans="1:15" ht="15.75" thickBot="1" x14ac:dyDescent="0.3">
      <c r="A5" s="21" t="s">
        <v>18</v>
      </c>
      <c r="B5" s="22">
        <v>40</v>
      </c>
      <c r="C5" s="22">
        <v>298</v>
      </c>
      <c r="D5" s="22">
        <f>D3</f>
        <v>732</v>
      </c>
      <c r="E5" s="23">
        <f t="shared" si="0"/>
        <v>2.7727272727272725</v>
      </c>
      <c r="F5" s="23">
        <f>B5*$O$11/$O$6/C5*$O$5*1000</f>
        <v>3229.9529058144171</v>
      </c>
      <c r="G5" s="23">
        <f>B5*$O$12/$O$6/C5*$O$5*1000</f>
        <v>4908.5023268263985</v>
      </c>
      <c r="H5" s="24">
        <f>B5*D5/($O$6*C5)</f>
        <v>309.24649556548127</v>
      </c>
      <c r="I5" s="23">
        <f>J5/F5</f>
        <v>0</v>
      </c>
      <c r="J5" s="23">
        <f>J4</f>
        <v>0</v>
      </c>
      <c r="K5" s="23">
        <f>E5-I5</f>
        <v>2.7727272727272725</v>
      </c>
      <c r="L5" s="25">
        <f>G5*K5</f>
        <v>13609.938269836832</v>
      </c>
      <c r="N5" s="19" t="s">
        <v>19</v>
      </c>
      <c r="O5" s="20">
        <v>0.26400000000000001</v>
      </c>
    </row>
    <row r="6" spans="1:15" ht="15.75" thickBot="1" x14ac:dyDescent="0.3">
      <c r="A6" s="26" t="s">
        <v>20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8"/>
      <c r="N6" s="19" t="s">
        <v>21</v>
      </c>
      <c r="O6" s="20">
        <f>O3*O4*O5</f>
        <v>0.31772400000000001</v>
      </c>
    </row>
    <row r="7" spans="1:15" ht="15.75" thickBot="1" x14ac:dyDescent="0.3">
      <c r="A7" s="29" t="s">
        <v>1</v>
      </c>
      <c r="B7" s="5" t="s">
        <v>22</v>
      </c>
      <c r="C7" s="6" t="s">
        <v>23</v>
      </c>
      <c r="D7" s="6" t="s">
        <v>24</v>
      </c>
      <c r="E7" s="6" t="s">
        <v>25</v>
      </c>
      <c r="F7" s="6" t="s">
        <v>26</v>
      </c>
      <c r="G7" s="6" t="s">
        <v>27</v>
      </c>
      <c r="H7" s="6" t="s">
        <v>28</v>
      </c>
      <c r="I7" s="6" t="s">
        <v>29</v>
      </c>
      <c r="J7" s="6" t="s">
        <v>30</v>
      </c>
      <c r="K7" s="6"/>
      <c r="L7" s="7"/>
      <c r="N7" s="19" t="s">
        <v>31</v>
      </c>
      <c r="O7" s="20">
        <v>1.96</v>
      </c>
    </row>
    <row r="8" spans="1:15" ht="15.75" thickBot="1" x14ac:dyDescent="0.3">
      <c r="A8" s="30" t="s">
        <v>32</v>
      </c>
      <c r="B8" s="31">
        <v>25</v>
      </c>
      <c r="C8" s="31">
        <v>30</v>
      </c>
      <c r="D8" s="32">
        <f>B8*C8</f>
        <v>750</v>
      </c>
      <c r="E8" s="33">
        <f>IF((D3-D8)&lt;=0,D3,D8)</f>
        <v>732</v>
      </c>
      <c r="F8" s="33">
        <f>IF((D8-D3)&gt;=0,D8-D3,0)</f>
        <v>18</v>
      </c>
      <c r="G8" s="33">
        <f>D8-F8</f>
        <v>732</v>
      </c>
      <c r="H8" s="33">
        <f>G8/O5/1000*G4</f>
        <v>5103.7268511888124</v>
      </c>
      <c r="I8" s="34">
        <f>F8/O5/1000*G4</f>
        <v>125.50147994726586</v>
      </c>
      <c r="J8" s="34">
        <f>D8/O5/1000*G4</f>
        <v>5229.2283311360779</v>
      </c>
      <c r="K8" s="35"/>
      <c r="L8" s="36"/>
      <c r="N8" s="19" t="s">
        <v>33</v>
      </c>
      <c r="O8" s="20">
        <v>1000</v>
      </c>
    </row>
    <row r="9" spans="1:15" ht="15.75" thickBot="1" x14ac:dyDescent="0.3">
      <c r="N9" s="19" t="s">
        <v>34</v>
      </c>
      <c r="O9" s="20">
        <v>1</v>
      </c>
    </row>
    <row r="10" spans="1:15" ht="15.75" thickBot="1" x14ac:dyDescent="0.3">
      <c r="A10" s="26" t="s">
        <v>35</v>
      </c>
      <c r="B10" s="27"/>
      <c r="C10" s="27"/>
      <c r="D10" s="27"/>
      <c r="E10" s="28"/>
      <c r="N10" s="19" t="s">
        <v>36</v>
      </c>
      <c r="O10" s="20">
        <f>20*31</f>
        <v>620</v>
      </c>
    </row>
    <row r="11" spans="1:15" ht="15.75" thickBot="1" x14ac:dyDescent="0.3">
      <c r="A11" s="37" t="s">
        <v>1</v>
      </c>
      <c r="B11" s="38" t="s">
        <v>37</v>
      </c>
      <c r="C11" s="38" t="s">
        <v>38</v>
      </c>
      <c r="D11" s="38" t="s">
        <v>39</v>
      </c>
      <c r="E11" s="39" t="s">
        <v>40</v>
      </c>
      <c r="N11" s="19" t="s">
        <v>41</v>
      </c>
      <c r="O11" s="20">
        <v>28.96</v>
      </c>
    </row>
    <row r="12" spans="1:15" ht="15.75" thickBot="1" x14ac:dyDescent="0.3">
      <c r="A12" s="8" t="s">
        <v>42</v>
      </c>
      <c r="B12" s="40">
        <v>0.88</v>
      </c>
      <c r="C12" s="40">
        <f>B12*$O$7</f>
        <v>1.7247999999999999</v>
      </c>
      <c r="D12" s="41"/>
      <c r="E12" s="42"/>
      <c r="N12" s="43" t="s">
        <v>43</v>
      </c>
      <c r="O12" s="44">
        <v>44.01</v>
      </c>
    </row>
    <row r="13" spans="1:15" ht="15.75" thickBot="1" x14ac:dyDescent="0.3">
      <c r="A13" s="15" t="s">
        <v>44</v>
      </c>
      <c r="B13" s="16">
        <v>2.5</v>
      </c>
      <c r="C13" s="16">
        <f>B13*$O$7</f>
        <v>4.9000000000000004</v>
      </c>
      <c r="D13" s="45"/>
      <c r="E13" s="20"/>
    </row>
    <row r="14" spans="1:15" ht="15.75" thickBot="1" x14ac:dyDescent="0.3">
      <c r="A14" s="46" t="s">
        <v>45</v>
      </c>
      <c r="B14" s="47"/>
      <c r="C14" s="47"/>
      <c r="D14" s="48">
        <f>C13-C12</f>
        <v>3.1752000000000002</v>
      </c>
      <c r="E14" s="49">
        <f>D14*O10/O5</f>
        <v>7456.9090909090919</v>
      </c>
      <c r="N14" s="50" t="s">
        <v>46</v>
      </c>
    </row>
    <row r="15" spans="1:15" ht="15.75" thickBot="1" x14ac:dyDescent="0.3">
      <c r="N15" s="51" t="s">
        <v>47</v>
      </c>
    </row>
    <row r="16" spans="1:15" ht="15.75" thickBot="1" x14ac:dyDescent="0.3">
      <c r="A16" s="52" t="s">
        <v>48</v>
      </c>
      <c r="B16" s="53"/>
      <c r="C16" s="53"/>
      <c r="D16" s="53"/>
      <c r="E16" s="53"/>
      <c r="F16" s="53"/>
      <c r="G16" s="54"/>
      <c r="N16" s="55" t="s">
        <v>49</v>
      </c>
    </row>
    <row r="17" spans="1:14" ht="15.75" thickBot="1" x14ac:dyDescent="0.3">
      <c r="A17" s="37" t="s">
        <v>50</v>
      </c>
      <c r="B17" s="38" t="s">
        <v>51</v>
      </c>
      <c r="C17" s="38" t="s">
        <v>52</v>
      </c>
      <c r="D17" s="38" t="s">
        <v>53</v>
      </c>
      <c r="E17" s="38" t="s">
        <v>54</v>
      </c>
      <c r="F17" s="38" t="s">
        <v>55</v>
      </c>
      <c r="G17" s="39" t="s">
        <v>56</v>
      </c>
      <c r="N17" s="56" t="s">
        <v>57</v>
      </c>
    </row>
    <row r="18" spans="1:14" x14ac:dyDescent="0.25">
      <c r="A18" s="8" t="s">
        <v>58</v>
      </c>
      <c r="B18" s="57">
        <f>J8+(L5-L4)</f>
        <v>13735.439749784098</v>
      </c>
      <c r="C18" s="57">
        <f>B18/$O$8</f>
        <v>13.735439749784097</v>
      </c>
      <c r="D18" s="57">
        <f>I8</f>
        <v>125.50147994726586</v>
      </c>
      <c r="E18" s="57">
        <f>D18/$O$8</f>
        <v>0.12550147994726588</v>
      </c>
      <c r="F18" s="57">
        <v>0</v>
      </c>
      <c r="G18" s="58">
        <f>F18/$O$8</f>
        <v>0</v>
      </c>
    </row>
    <row r="19" spans="1:14" x14ac:dyDescent="0.25">
      <c r="A19" s="15" t="s">
        <v>59</v>
      </c>
      <c r="B19" s="17">
        <f>E14</f>
        <v>7456.9090909090919</v>
      </c>
      <c r="C19" s="17">
        <f t="shared" ref="C19:C21" si="1">B19/$O$8</f>
        <v>7.4569090909090923</v>
      </c>
      <c r="D19" s="17">
        <v>0</v>
      </c>
      <c r="E19" s="17">
        <f t="shared" ref="E19:E21" si="2">D19/$O$8</f>
        <v>0</v>
      </c>
      <c r="F19" s="17">
        <f>B19</f>
        <v>7456.9090909090919</v>
      </c>
      <c r="G19" s="59">
        <f t="shared" ref="G19:G20" si="3">F19/$O$8</f>
        <v>7.4569090909090923</v>
      </c>
    </row>
    <row r="20" spans="1:14" ht="15.75" thickBot="1" x14ac:dyDescent="0.3">
      <c r="A20" s="46" t="s">
        <v>60</v>
      </c>
      <c r="B20" s="60">
        <f>0</f>
        <v>0</v>
      </c>
      <c r="C20" s="60">
        <f t="shared" si="1"/>
        <v>0</v>
      </c>
      <c r="D20" s="60">
        <f>L5</f>
        <v>13609.938269836832</v>
      </c>
      <c r="E20" s="60">
        <f t="shared" si="2"/>
        <v>13.609938269836832</v>
      </c>
      <c r="F20" s="60">
        <v>0</v>
      </c>
      <c r="G20" s="61">
        <f t="shared" si="3"/>
        <v>0</v>
      </c>
    </row>
    <row r="21" spans="1:14" ht="15.75" thickBot="1" x14ac:dyDescent="0.3">
      <c r="A21" s="30" t="s">
        <v>61</v>
      </c>
      <c r="B21" s="34">
        <f>SUM(B18:B20)</f>
        <v>21192.34884069319</v>
      </c>
      <c r="C21" s="34">
        <f t="shared" si="1"/>
        <v>21.192348840693189</v>
      </c>
      <c r="D21" s="34">
        <f>SUM(D18:D20)</f>
        <v>13735.439749784098</v>
      </c>
      <c r="E21" s="34">
        <f t="shared" si="2"/>
        <v>13.735439749784097</v>
      </c>
      <c r="F21" s="34">
        <f>SUM(F18:F20)</f>
        <v>7456.9090909090919</v>
      </c>
      <c r="G21" s="62">
        <f>SUM(G18:G20)</f>
        <v>7.4569090909090923</v>
      </c>
    </row>
  </sheetData>
  <mergeCells count="5">
    <mergeCell ref="A1:L1"/>
    <mergeCell ref="N2:O2"/>
    <mergeCell ref="A6:L6"/>
    <mergeCell ref="A10:E10"/>
    <mergeCell ref="A16:G1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94785-8F5C-4C8E-88B1-B9A23EF14C00}">
  <dimension ref="A1:O34"/>
  <sheetViews>
    <sheetView topLeftCell="A3" workbookViewId="0">
      <selection activeCell="H32" sqref="H32"/>
    </sheetView>
  </sheetViews>
  <sheetFormatPr defaultRowHeight="15" x14ac:dyDescent="0.25"/>
  <cols>
    <col min="1" max="1" width="30.28515625" bestFit="1" customWidth="1"/>
    <col min="2" max="2" width="22.85546875" bestFit="1" customWidth="1"/>
    <col min="3" max="3" width="22.42578125" bestFit="1" customWidth="1"/>
    <col min="4" max="4" width="26.28515625" bestFit="1" customWidth="1"/>
    <col min="5" max="5" width="29" bestFit="1" customWidth="1"/>
    <col min="6" max="6" width="26.28515625" bestFit="1" customWidth="1"/>
    <col min="7" max="7" width="31.42578125" bestFit="1" customWidth="1"/>
    <col min="8" max="8" width="27.7109375" bestFit="1" customWidth="1"/>
    <col min="9" max="9" width="17.7109375" bestFit="1" customWidth="1"/>
    <col min="10" max="10" width="23.85546875" bestFit="1" customWidth="1"/>
    <col min="11" max="11" width="14.28515625" bestFit="1" customWidth="1"/>
    <col min="12" max="12" width="15.28515625" bestFit="1" customWidth="1"/>
    <col min="14" max="14" width="24.42578125" bestFit="1" customWidth="1"/>
  </cols>
  <sheetData>
    <row r="1" spans="1:15" ht="15.75" thickBot="1" x14ac:dyDescent="0.3">
      <c r="A1" s="63" t="s">
        <v>62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5"/>
    </row>
    <row r="2" spans="1:15" ht="15.75" thickBot="1" x14ac:dyDescent="0.3">
      <c r="A2" s="37" t="s">
        <v>63</v>
      </c>
      <c r="B2" s="38" t="s">
        <v>64</v>
      </c>
      <c r="C2" s="38" t="s">
        <v>65</v>
      </c>
      <c r="D2" s="38" t="s">
        <v>66</v>
      </c>
      <c r="E2" s="38" t="s">
        <v>67</v>
      </c>
      <c r="F2" s="38" t="s">
        <v>68</v>
      </c>
      <c r="G2" s="38" t="s">
        <v>69</v>
      </c>
      <c r="H2" s="38" t="s">
        <v>70</v>
      </c>
      <c r="I2" s="38" t="s">
        <v>71</v>
      </c>
      <c r="J2" s="38" t="s">
        <v>72</v>
      </c>
      <c r="K2" s="38" t="s">
        <v>73</v>
      </c>
      <c r="L2" s="39" t="s">
        <v>74</v>
      </c>
      <c r="N2" s="1" t="s">
        <v>75</v>
      </c>
      <c r="O2" s="3"/>
    </row>
    <row r="3" spans="1:15" x14ac:dyDescent="0.25">
      <c r="A3" s="8" t="s">
        <v>76</v>
      </c>
      <c r="B3" s="40">
        <v>0.9</v>
      </c>
      <c r="C3" s="66">
        <f>B3*$O$22</f>
        <v>2.2859999999999998E-2</v>
      </c>
      <c r="D3" s="40">
        <v>1</v>
      </c>
      <c r="E3" s="40">
        <v>1</v>
      </c>
      <c r="F3" s="66">
        <f>E3*$O$23</f>
        <v>0.30480000000000002</v>
      </c>
      <c r="G3" s="40" t="s">
        <v>77</v>
      </c>
      <c r="H3" s="67">
        <f>$O$8/(PI()*C3^2/4)</f>
        <v>0.15381634566264385</v>
      </c>
      <c r="I3" s="67">
        <f>H3*C3/$O$6</f>
        <v>1465.1006924366825</v>
      </c>
      <c r="J3" s="66">
        <f>0.002/1000/C3</f>
        <v>8.7489063867016631E-5</v>
      </c>
      <c r="K3" s="67">
        <f>16/I3</f>
        <v>1.0920751100997432E-2</v>
      </c>
      <c r="L3" s="68">
        <f>K3*4*F3/C3</f>
        <v>0.58244005871986304</v>
      </c>
      <c r="N3" s="69" t="s">
        <v>3</v>
      </c>
      <c r="O3" s="14">
        <v>298</v>
      </c>
    </row>
    <row r="4" spans="1:15" x14ac:dyDescent="0.25">
      <c r="A4" s="15" t="s">
        <v>78</v>
      </c>
      <c r="B4" s="16">
        <v>0.9</v>
      </c>
      <c r="C4" s="70">
        <f t="shared" ref="C4:C19" si="0">B4*$O$22</f>
        <v>2.2859999999999998E-2</v>
      </c>
      <c r="D4" s="16">
        <v>1</v>
      </c>
      <c r="E4" s="16" t="s">
        <v>79</v>
      </c>
      <c r="F4" s="70" t="s">
        <v>79</v>
      </c>
      <c r="G4" s="16" t="s">
        <v>77</v>
      </c>
      <c r="H4" s="71">
        <f t="shared" ref="H4:H17" si="1">$O$8/(PI()*C4^2/4)</f>
        <v>0.15381634566264385</v>
      </c>
      <c r="I4" s="71">
        <f t="shared" ref="I4:I19" si="2">H4*C4/$O$6</f>
        <v>1465.1006924366825</v>
      </c>
      <c r="J4" s="70" t="s">
        <v>79</v>
      </c>
      <c r="K4" s="71" t="s">
        <v>79</v>
      </c>
      <c r="L4" s="72">
        <f>300/I5+(0.017*(1+3.5/B5^0.3))</f>
        <v>0.28317480649067917</v>
      </c>
      <c r="N4" s="15" t="s">
        <v>80</v>
      </c>
      <c r="O4" s="20">
        <v>1000</v>
      </c>
    </row>
    <row r="5" spans="1:15" x14ac:dyDescent="0.25">
      <c r="A5" s="15" t="s">
        <v>81</v>
      </c>
      <c r="B5" s="16">
        <v>0.9</v>
      </c>
      <c r="C5" s="70">
        <f t="shared" si="0"/>
        <v>2.2859999999999998E-2</v>
      </c>
      <c r="D5" s="16">
        <v>1</v>
      </c>
      <c r="E5" s="16" t="s">
        <v>79</v>
      </c>
      <c r="F5" s="70" t="s">
        <v>79</v>
      </c>
      <c r="G5" s="16" t="s">
        <v>77</v>
      </c>
      <c r="H5" s="71">
        <f t="shared" si="1"/>
        <v>0.15381634566264385</v>
      </c>
      <c r="I5" s="71">
        <f t="shared" si="2"/>
        <v>1465.1006924366825</v>
      </c>
      <c r="J5" s="70" t="s">
        <v>79</v>
      </c>
      <c r="K5" s="71" t="s">
        <v>79</v>
      </c>
      <c r="L5" s="72">
        <f>800/I6+(0.14*(1+4/B6^0.3))</f>
        <v>1.2640208336096581</v>
      </c>
      <c r="N5" s="15" t="s">
        <v>82</v>
      </c>
      <c r="O5" s="73">
        <f>2.4*10^-3</f>
        <v>2.3999999999999998E-3</v>
      </c>
    </row>
    <row r="6" spans="1:15" x14ac:dyDescent="0.25">
      <c r="A6" s="15" t="s">
        <v>83</v>
      </c>
      <c r="B6" s="16">
        <v>0.9</v>
      </c>
      <c r="C6" s="70">
        <f t="shared" si="0"/>
        <v>2.2859999999999998E-2</v>
      </c>
      <c r="D6" s="16">
        <v>1</v>
      </c>
      <c r="E6" s="16">
        <v>0.5</v>
      </c>
      <c r="F6" s="70">
        <f>E6*$O$23</f>
        <v>0.15240000000000001</v>
      </c>
      <c r="G6" s="16" t="s">
        <v>77</v>
      </c>
      <c r="H6" s="71">
        <f t="shared" si="1"/>
        <v>0.15381634566264385</v>
      </c>
      <c r="I6" s="71">
        <f t="shared" si="2"/>
        <v>1465.1006924366825</v>
      </c>
      <c r="J6" s="70">
        <f>0.002/1000/C6</f>
        <v>8.7489063867016631E-5</v>
      </c>
      <c r="K6" s="71">
        <f t="shared" ref="K6:K19" si="3">16/I6</f>
        <v>1.0920751100997432E-2</v>
      </c>
      <c r="L6" s="72">
        <f t="shared" ref="L6:L19" si="4">K6*4*F6/C6</f>
        <v>0.29122002935993152</v>
      </c>
      <c r="N6" s="15" t="s">
        <v>84</v>
      </c>
      <c r="O6" s="73">
        <f>O5/O4</f>
        <v>2.3999999999999999E-6</v>
      </c>
    </row>
    <row r="7" spans="1:15" x14ac:dyDescent="0.25">
      <c r="A7" s="15" t="s">
        <v>85</v>
      </c>
      <c r="B7" s="16">
        <v>0.9</v>
      </c>
      <c r="C7" s="70">
        <f t="shared" si="0"/>
        <v>2.2859999999999998E-2</v>
      </c>
      <c r="D7" s="16">
        <v>1</v>
      </c>
      <c r="E7" s="16">
        <v>0.5</v>
      </c>
      <c r="F7" s="70">
        <f>E7*$O$23</f>
        <v>0.15240000000000001</v>
      </c>
      <c r="G7" s="16" t="s">
        <v>77</v>
      </c>
      <c r="H7" s="71">
        <f t="shared" si="1"/>
        <v>0.15381634566264385</v>
      </c>
      <c r="I7" s="71">
        <f t="shared" si="2"/>
        <v>1465.1006924366825</v>
      </c>
      <c r="J7" s="70">
        <f t="shared" ref="J7:J19" si="5">0.002/1000/C7</f>
        <v>8.7489063867016631E-5</v>
      </c>
      <c r="K7" s="71">
        <f t="shared" si="3"/>
        <v>1.0920751100997432E-2</v>
      </c>
      <c r="L7" s="72">
        <f t="shared" si="4"/>
        <v>0.29122002935993152</v>
      </c>
      <c r="N7" s="15" t="s">
        <v>86</v>
      </c>
      <c r="O7" s="20">
        <v>1</v>
      </c>
    </row>
    <row r="8" spans="1:15" x14ac:dyDescent="0.25">
      <c r="A8" s="15" t="s">
        <v>87</v>
      </c>
      <c r="B8" s="16">
        <v>0.9</v>
      </c>
      <c r="C8" s="70">
        <f t="shared" si="0"/>
        <v>2.2859999999999998E-2</v>
      </c>
      <c r="D8" s="16">
        <v>1</v>
      </c>
      <c r="E8" s="16">
        <v>0.5</v>
      </c>
      <c r="F8" s="70">
        <f>E8*$O$23</f>
        <v>0.15240000000000001</v>
      </c>
      <c r="G8" s="16" t="s">
        <v>77</v>
      </c>
      <c r="H8" s="71">
        <f t="shared" si="1"/>
        <v>0.15381634566264385</v>
      </c>
      <c r="I8" s="71">
        <f t="shared" si="2"/>
        <v>1465.1006924366825</v>
      </c>
      <c r="J8" s="70">
        <f t="shared" si="5"/>
        <v>8.7489063867016631E-5</v>
      </c>
      <c r="K8" s="71">
        <f t="shared" si="3"/>
        <v>1.0920751100997432E-2</v>
      </c>
      <c r="L8" s="72">
        <f t="shared" si="4"/>
        <v>0.29122002935993152</v>
      </c>
      <c r="N8" s="15" t="s">
        <v>88</v>
      </c>
      <c r="O8" s="73">
        <f>O7/O16*O18/O20</f>
        <v>6.3131313131313131E-5</v>
      </c>
    </row>
    <row r="9" spans="1:15" ht="15.75" thickBot="1" x14ac:dyDescent="0.3">
      <c r="A9" s="15" t="s">
        <v>81</v>
      </c>
      <c r="B9" s="16">
        <v>0.9</v>
      </c>
      <c r="C9" s="70">
        <f t="shared" si="0"/>
        <v>2.2859999999999998E-2</v>
      </c>
      <c r="D9" s="16">
        <v>1</v>
      </c>
      <c r="E9" s="16" t="s">
        <v>79</v>
      </c>
      <c r="F9" s="70" t="s">
        <v>79</v>
      </c>
      <c r="G9" s="16" t="s">
        <v>77</v>
      </c>
      <c r="H9" s="71">
        <f t="shared" si="1"/>
        <v>0.15381634566264385</v>
      </c>
      <c r="I9" s="71">
        <f t="shared" si="2"/>
        <v>1465.1006924366825</v>
      </c>
      <c r="J9" s="70" t="s">
        <v>79</v>
      </c>
      <c r="K9" s="71" t="s">
        <v>79</v>
      </c>
      <c r="L9" s="72">
        <f>800/I10+(0.14*(1+4/B10^0.3))</f>
        <v>1.2640208336096581</v>
      </c>
      <c r="N9" s="46" t="s">
        <v>89</v>
      </c>
      <c r="O9" s="44">
        <f>O8*O4</f>
        <v>6.3131313131313135E-2</v>
      </c>
    </row>
    <row r="10" spans="1:15" ht="15.75" thickBot="1" x14ac:dyDescent="0.3">
      <c r="A10" s="15" t="s">
        <v>90</v>
      </c>
      <c r="B10" s="16">
        <v>0.9</v>
      </c>
      <c r="C10" s="70">
        <f t="shared" si="0"/>
        <v>2.2859999999999998E-2</v>
      </c>
      <c r="D10" s="16">
        <v>1</v>
      </c>
      <c r="E10" s="16" t="s">
        <v>79</v>
      </c>
      <c r="F10" s="70" t="s">
        <v>79</v>
      </c>
      <c r="G10" s="16" t="s">
        <v>77</v>
      </c>
      <c r="H10" s="71">
        <f t="shared" si="1"/>
        <v>0.15381634566264385</v>
      </c>
      <c r="I10" s="71">
        <f t="shared" si="2"/>
        <v>1465.1006924366825</v>
      </c>
      <c r="J10" s="70" t="s">
        <v>79</v>
      </c>
      <c r="K10" s="71" t="s">
        <v>79</v>
      </c>
      <c r="L10" s="72">
        <f>300/I11+(0.017*(1+3.5/B11^0.3))</f>
        <v>0.28317480649067917</v>
      </c>
    </row>
    <row r="11" spans="1:15" ht="15.75" thickBot="1" x14ac:dyDescent="0.3">
      <c r="A11" s="15" t="s">
        <v>91</v>
      </c>
      <c r="B11" s="16">
        <v>0.9</v>
      </c>
      <c r="C11" s="70">
        <f t="shared" si="0"/>
        <v>2.2859999999999998E-2</v>
      </c>
      <c r="D11" s="16">
        <v>1</v>
      </c>
      <c r="E11" s="16">
        <v>1</v>
      </c>
      <c r="F11" s="70">
        <f>E11*$O$23</f>
        <v>0.30480000000000002</v>
      </c>
      <c r="G11" s="16" t="s">
        <v>77</v>
      </c>
      <c r="H11" s="71">
        <f t="shared" si="1"/>
        <v>0.15381634566264385</v>
      </c>
      <c r="I11" s="71">
        <f t="shared" si="2"/>
        <v>1465.1006924366825</v>
      </c>
      <c r="J11" s="70">
        <f t="shared" si="5"/>
        <v>8.7489063867016631E-5</v>
      </c>
      <c r="K11" s="71">
        <f t="shared" si="3"/>
        <v>1.0920751100997432E-2</v>
      </c>
      <c r="L11" s="72">
        <f t="shared" si="4"/>
        <v>0.58244005871986304</v>
      </c>
      <c r="N11" s="74" t="s">
        <v>92</v>
      </c>
      <c r="O11" s="75"/>
    </row>
    <row r="12" spans="1:15" x14ac:dyDescent="0.25">
      <c r="A12" s="15" t="s">
        <v>87</v>
      </c>
      <c r="B12" s="16">
        <v>0.9</v>
      </c>
      <c r="C12" s="70">
        <f t="shared" si="0"/>
        <v>2.2859999999999998E-2</v>
      </c>
      <c r="D12" s="16">
        <v>1</v>
      </c>
      <c r="E12" s="16">
        <v>1</v>
      </c>
      <c r="F12" s="70">
        <f>E12*$O$23</f>
        <v>0.30480000000000002</v>
      </c>
      <c r="G12" s="16" t="s">
        <v>77</v>
      </c>
      <c r="H12" s="71">
        <f t="shared" si="1"/>
        <v>0.15381634566264385</v>
      </c>
      <c r="I12" s="71">
        <f t="shared" si="2"/>
        <v>1465.1006924366825</v>
      </c>
      <c r="J12" s="70">
        <f t="shared" si="5"/>
        <v>8.7489063867016631E-5</v>
      </c>
      <c r="K12" s="71">
        <f t="shared" si="3"/>
        <v>1.0920751100997432E-2</v>
      </c>
      <c r="L12" s="72">
        <f t="shared" si="4"/>
        <v>0.58244005871986304</v>
      </c>
      <c r="N12" s="13" t="s">
        <v>15</v>
      </c>
      <c r="O12" s="14">
        <v>8.3000000000000004E-2</v>
      </c>
    </row>
    <row r="13" spans="1:15" x14ac:dyDescent="0.25">
      <c r="A13" s="15" t="s">
        <v>81</v>
      </c>
      <c r="B13" s="16">
        <v>0.9</v>
      </c>
      <c r="C13" s="70">
        <f t="shared" si="0"/>
        <v>2.2859999999999998E-2</v>
      </c>
      <c r="D13" s="16">
        <v>1</v>
      </c>
      <c r="E13" s="16" t="s">
        <v>79</v>
      </c>
      <c r="F13" s="70" t="s">
        <v>79</v>
      </c>
      <c r="G13" s="16" t="s">
        <v>77</v>
      </c>
      <c r="H13" s="71">
        <f t="shared" si="1"/>
        <v>0.15381634566264385</v>
      </c>
      <c r="I13" s="71">
        <f t="shared" si="2"/>
        <v>1465.1006924366825</v>
      </c>
      <c r="J13" s="70" t="s">
        <v>79</v>
      </c>
      <c r="K13" s="71" t="s">
        <v>79</v>
      </c>
      <c r="L13" s="72">
        <f>800/I14+(0.14*(1+4/B14^0.3))</f>
        <v>1.2640208336096581</v>
      </c>
      <c r="N13" s="19" t="s">
        <v>17</v>
      </c>
      <c r="O13" s="20">
        <v>14.5</v>
      </c>
    </row>
    <row r="14" spans="1:15" x14ac:dyDescent="0.25">
      <c r="A14" s="15" t="s">
        <v>93</v>
      </c>
      <c r="B14" s="16">
        <v>0.9</v>
      </c>
      <c r="C14" s="70">
        <f t="shared" si="0"/>
        <v>2.2859999999999998E-2</v>
      </c>
      <c r="D14" s="16">
        <v>1</v>
      </c>
      <c r="E14" s="16">
        <v>1</v>
      </c>
      <c r="F14" s="70">
        <f>E14*$O$23</f>
        <v>0.30480000000000002</v>
      </c>
      <c r="G14" s="16" t="s">
        <v>77</v>
      </c>
      <c r="H14" s="71">
        <f t="shared" si="1"/>
        <v>0.15381634566264385</v>
      </c>
      <c r="I14" s="71">
        <f t="shared" si="2"/>
        <v>1465.1006924366825</v>
      </c>
      <c r="J14" s="70">
        <f t="shared" si="5"/>
        <v>8.7489063867016631E-5</v>
      </c>
      <c r="K14" s="71">
        <f t="shared" si="3"/>
        <v>1.0920751100997432E-2</v>
      </c>
      <c r="L14" s="72">
        <f t="shared" si="4"/>
        <v>0.58244005871986304</v>
      </c>
      <c r="N14" s="19" t="s">
        <v>36</v>
      </c>
      <c r="O14" s="20">
        <f>20*31</f>
        <v>620</v>
      </c>
    </row>
    <row r="15" spans="1:15" x14ac:dyDescent="0.25">
      <c r="A15" s="15" t="s">
        <v>87</v>
      </c>
      <c r="B15" s="16">
        <v>0.9</v>
      </c>
      <c r="C15" s="70">
        <f t="shared" si="0"/>
        <v>2.2859999999999998E-2</v>
      </c>
      <c r="D15" s="16">
        <v>1</v>
      </c>
      <c r="E15" s="16">
        <v>1</v>
      </c>
      <c r="F15" s="70">
        <f>E15*$O$23</f>
        <v>0.30480000000000002</v>
      </c>
      <c r="G15" s="16" t="s">
        <v>77</v>
      </c>
      <c r="H15" s="71">
        <f t="shared" si="1"/>
        <v>0.15381634566264385</v>
      </c>
      <c r="I15" s="71">
        <f t="shared" si="2"/>
        <v>1465.1006924366825</v>
      </c>
      <c r="J15" s="70">
        <f t="shared" si="5"/>
        <v>8.7489063867016631E-5</v>
      </c>
      <c r="K15" s="71">
        <f t="shared" si="3"/>
        <v>1.0920751100997432E-2</v>
      </c>
      <c r="L15" s="72">
        <f t="shared" si="4"/>
        <v>0.58244005871986304</v>
      </c>
      <c r="N15" s="19" t="s">
        <v>94</v>
      </c>
      <c r="O15" s="20">
        <f>O14/O16*O18</f>
        <v>2.3484848484848486</v>
      </c>
    </row>
    <row r="16" spans="1:15" x14ac:dyDescent="0.25">
      <c r="A16" s="15" t="s">
        <v>81</v>
      </c>
      <c r="B16" s="16">
        <v>0.9</v>
      </c>
      <c r="C16" s="70">
        <f t="shared" si="0"/>
        <v>2.2859999999999998E-2</v>
      </c>
      <c r="D16" s="16">
        <v>1</v>
      </c>
      <c r="E16" s="16" t="s">
        <v>79</v>
      </c>
      <c r="F16" s="70" t="s">
        <v>79</v>
      </c>
      <c r="G16" s="16" t="s">
        <v>77</v>
      </c>
      <c r="H16" s="71">
        <f t="shared" si="1"/>
        <v>0.15381634566264385</v>
      </c>
      <c r="I16" s="71">
        <f t="shared" si="2"/>
        <v>1465.1006924366825</v>
      </c>
      <c r="J16" s="70" t="s">
        <v>79</v>
      </c>
      <c r="K16" s="71" t="s">
        <v>79</v>
      </c>
      <c r="L16" s="72">
        <f>800/I17+(0.14*(1+4/B17^0.3))</f>
        <v>1.2640208336096581</v>
      </c>
      <c r="N16" s="19" t="s">
        <v>19</v>
      </c>
      <c r="O16" s="20">
        <v>0.26400000000000001</v>
      </c>
    </row>
    <row r="17" spans="1:15" x14ac:dyDescent="0.25">
      <c r="A17" s="15" t="s">
        <v>87</v>
      </c>
      <c r="B17" s="16">
        <v>0.9</v>
      </c>
      <c r="C17" s="70">
        <f t="shared" si="0"/>
        <v>2.2859999999999998E-2</v>
      </c>
      <c r="D17" s="16">
        <v>1</v>
      </c>
      <c r="E17" s="16">
        <v>1</v>
      </c>
      <c r="F17" s="70">
        <f>E17*$O$23</f>
        <v>0.30480000000000002</v>
      </c>
      <c r="G17" s="16" t="s">
        <v>77</v>
      </c>
      <c r="H17" s="71">
        <f t="shared" si="1"/>
        <v>0.15381634566264385</v>
      </c>
      <c r="I17" s="71">
        <f t="shared" si="2"/>
        <v>1465.1006924366825</v>
      </c>
      <c r="J17" s="70">
        <f t="shared" si="5"/>
        <v>8.7489063867016631E-5</v>
      </c>
      <c r="K17" s="71">
        <f t="shared" si="3"/>
        <v>1.0920751100997432E-2</v>
      </c>
      <c r="L17" s="72">
        <f t="shared" si="4"/>
        <v>0.58244005871986304</v>
      </c>
      <c r="N17" s="19" t="s">
        <v>21</v>
      </c>
      <c r="O17" s="20">
        <f>O12*O13*O16</f>
        <v>0.31772400000000001</v>
      </c>
    </row>
    <row r="18" spans="1:15" x14ac:dyDescent="0.25">
      <c r="A18" s="15" t="s">
        <v>81</v>
      </c>
      <c r="B18" s="16">
        <v>0.9</v>
      </c>
      <c r="C18" s="70">
        <f t="shared" si="0"/>
        <v>2.2859999999999998E-2</v>
      </c>
      <c r="D18" s="16">
        <v>1</v>
      </c>
      <c r="E18" s="76" t="s">
        <v>79</v>
      </c>
      <c r="F18" s="70" t="s">
        <v>79</v>
      </c>
      <c r="G18" s="16" t="s">
        <v>77</v>
      </c>
      <c r="H18" s="71">
        <f>$O$8/(PI()*C18^2/4)</f>
        <v>0.15381634566264385</v>
      </c>
      <c r="I18" s="71">
        <f>H18*C18/$O$6</f>
        <v>1465.1006924366825</v>
      </c>
      <c r="J18" s="70" t="s">
        <v>79</v>
      </c>
      <c r="K18" s="71" t="s">
        <v>79</v>
      </c>
      <c r="L18" s="72">
        <f>800/I19+(0.14*(1+4/B19^0.3))</f>
        <v>1.2640208336096581</v>
      </c>
      <c r="N18" s="19" t="s">
        <v>95</v>
      </c>
      <c r="O18" s="73">
        <v>1E-3</v>
      </c>
    </row>
    <row r="19" spans="1:15" ht="15.75" thickBot="1" x14ac:dyDescent="0.3">
      <c r="A19" s="46" t="s">
        <v>96</v>
      </c>
      <c r="B19" s="77">
        <v>0.9</v>
      </c>
      <c r="C19" s="78">
        <f t="shared" si="0"/>
        <v>2.2859999999999998E-2</v>
      </c>
      <c r="D19" s="77">
        <v>1</v>
      </c>
      <c r="E19" s="79">
        <v>0.5</v>
      </c>
      <c r="F19" s="78">
        <f>E19*$O$23</f>
        <v>0.15240000000000001</v>
      </c>
      <c r="G19" s="77" t="s">
        <v>77</v>
      </c>
      <c r="H19" s="80">
        <f>$O$8/(PI()*C19^2/4)</f>
        <v>0.15381634566264385</v>
      </c>
      <c r="I19" s="80">
        <f t="shared" si="2"/>
        <v>1465.1006924366825</v>
      </c>
      <c r="J19" s="78">
        <f t="shared" si="5"/>
        <v>8.7489063867016631E-5</v>
      </c>
      <c r="K19" s="80">
        <f t="shared" si="3"/>
        <v>1.0920751100997432E-2</v>
      </c>
      <c r="L19" s="81">
        <f t="shared" si="4"/>
        <v>0.29122002935993152</v>
      </c>
      <c r="N19" s="19" t="s">
        <v>43</v>
      </c>
      <c r="O19" s="20">
        <v>44.01</v>
      </c>
    </row>
    <row r="20" spans="1:15" ht="15.75" thickBot="1" x14ac:dyDescent="0.3">
      <c r="E20" s="82"/>
      <c r="N20" s="19" t="s">
        <v>97</v>
      </c>
      <c r="O20" s="20">
        <v>60</v>
      </c>
    </row>
    <row r="21" spans="1:15" ht="15.75" thickBot="1" x14ac:dyDescent="0.3">
      <c r="A21" s="63" t="s">
        <v>98</v>
      </c>
      <c r="B21" s="64"/>
      <c r="C21" s="64"/>
      <c r="D21" s="64"/>
      <c r="E21" s="64"/>
      <c r="F21" s="64"/>
      <c r="G21" s="64"/>
      <c r="H21" s="64"/>
      <c r="I21" s="65"/>
      <c r="N21" s="19" t="s">
        <v>99</v>
      </c>
      <c r="O21" s="20">
        <v>9.8000000000000007</v>
      </c>
    </row>
    <row r="22" spans="1:15" ht="15.75" thickBot="1" x14ac:dyDescent="0.3">
      <c r="A22" s="37" t="s">
        <v>1</v>
      </c>
      <c r="B22" s="38" t="s">
        <v>100</v>
      </c>
      <c r="C22" s="38" t="s">
        <v>101</v>
      </c>
      <c r="D22" s="38" t="s">
        <v>102</v>
      </c>
      <c r="E22" s="38" t="s">
        <v>103</v>
      </c>
      <c r="F22" s="38" t="s">
        <v>104</v>
      </c>
      <c r="G22" s="38" t="s">
        <v>105</v>
      </c>
      <c r="H22" s="38" t="s">
        <v>106</v>
      </c>
      <c r="I22" s="39" t="s">
        <v>107</v>
      </c>
      <c r="N22" s="19" t="s">
        <v>108</v>
      </c>
      <c r="O22" s="20">
        <v>2.5399999999999999E-2</v>
      </c>
    </row>
    <row r="23" spans="1:15" x14ac:dyDescent="0.25">
      <c r="A23" s="8" t="s">
        <v>109</v>
      </c>
      <c r="B23" s="40">
        <v>30</v>
      </c>
      <c r="C23" s="66">
        <f>B23*$O$25</f>
        <v>206844</v>
      </c>
      <c r="D23" s="66">
        <f>C23/$O$4/$O$21</f>
        <v>21.106530612244896</v>
      </c>
      <c r="E23" s="40">
        <v>5</v>
      </c>
      <c r="F23" s="66">
        <f>E23*O23</f>
        <v>1.524</v>
      </c>
      <c r="G23" s="67" cm="1">
        <f t="array" ref="G23">SUM(L3:L19/(C3:C19)^4)</f>
        <v>42279094.794490069</v>
      </c>
      <c r="H23" s="67">
        <f>G23*8*O8^2/(O21*PI()^2)</f>
        <v>1.3937327068563441E-2</v>
      </c>
      <c r="I23" s="83">
        <f>H23+F23+D23</f>
        <v>22.644467939313458</v>
      </c>
      <c r="N23" s="19" t="s">
        <v>110</v>
      </c>
      <c r="O23" s="20">
        <v>0.30480000000000002</v>
      </c>
    </row>
    <row r="24" spans="1:15" x14ac:dyDescent="0.25">
      <c r="A24" s="15" t="s">
        <v>111</v>
      </c>
      <c r="B24" s="16">
        <v>35</v>
      </c>
      <c r="C24" s="70">
        <f t="shared" ref="C24:C27" si="6">B24*$O$25</f>
        <v>241318</v>
      </c>
      <c r="D24" s="70">
        <f>C24/$O$4/$O$21</f>
        <v>24.624285714285715</v>
      </c>
      <c r="E24" s="45"/>
      <c r="F24" s="45"/>
      <c r="G24" s="45"/>
      <c r="H24" s="45"/>
      <c r="I24" s="84">
        <f>H24+F24+D24</f>
        <v>24.624285714285715</v>
      </c>
      <c r="N24" s="85" t="s">
        <v>112</v>
      </c>
      <c r="O24" s="86">
        <f>O14/O16*O18*O4</f>
        <v>2348.4848484848485</v>
      </c>
    </row>
    <row r="25" spans="1:15" ht="15.75" thickBot="1" x14ac:dyDescent="0.3">
      <c r="A25" s="15" t="s">
        <v>113</v>
      </c>
      <c r="B25" s="16">
        <v>35</v>
      </c>
      <c r="C25" s="70">
        <f t="shared" si="6"/>
        <v>241318</v>
      </c>
      <c r="D25" s="70">
        <f>C25/$O$4/$O$21</f>
        <v>24.624285714285715</v>
      </c>
      <c r="E25" s="45"/>
      <c r="F25" s="45"/>
      <c r="G25" s="45"/>
      <c r="H25" s="45"/>
      <c r="I25" s="84">
        <f t="shared" ref="I25:I27" si="7">H25+F25+D25</f>
        <v>24.624285714285715</v>
      </c>
      <c r="N25" s="43" t="s">
        <v>114</v>
      </c>
      <c r="O25" s="44">
        <v>6894.8</v>
      </c>
    </row>
    <row r="26" spans="1:15" ht="15.75" thickBot="1" x14ac:dyDescent="0.3">
      <c r="A26" s="15" t="s">
        <v>115</v>
      </c>
      <c r="B26" s="16">
        <v>20</v>
      </c>
      <c r="C26" s="70">
        <f t="shared" si="6"/>
        <v>137896</v>
      </c>
      <c r="D26" s="70">
        <f>C26/$O$4/$O$21</f>
        <v>14.071020408163262</v>
      </c>
      <c r="E26" s="45"/>
      <c r="F26" s="45"/>
      <c r="G26" s="45"/>
      <c r="H26" s="45"/>
      <c r="I26" s="84">
        <f t="shared" si="7"/>
        <v>14.071020408163262</v>
      </c>
    </row>
    <row r="27" spans="1:15" ht="15.75" thickBot="1" x14ac:dyDescent="0.3">
      <c r="A27" s="46" t="s">
        <v>116</v>
      </c>
      <c r="B27" s="77">
        <v>2</v>
      </c>
      <c r="C27" s="78">
        <f t="shared" si="6"/>
        <v>13789.6</v>
      </c>
      <c r="D27" s="78">
        <f>C27/$O$4/$O$21</f>
        <v>1.4071020408163264</v>
      </c>
      <c r="E27" s="47"/>
      <c r="F27" s="47"/>
      <c r="G27" s="47"/>
      <c r="H27" s="47"/>
      <c r="I27" s="87">
        <f t="shared" si="7"/>
        <v>1.4071020408163264</v>
      </c>
      <c r="N27" s="50" t="s">
        <v>46</v>
      </c>
    </row>
    <row r="28" spans="1:15" ht="15.75" thickBot="1" x14ac:dyDescent="0.3">
      <c r="N28" s="51" t="s">
        <v>47</v>
      </c>
    </row>
    <row r="29" spans="1:15" ht="15.75" thickBot="1" x14ac:dyDescent="0.3">
      <c r="A29" s="63" t="s">
        <v>117</v>
      </c>
      <c r="B29" s="64"/>
      <c r="C29" s="64"/>
      <c r="D29" s="64"/>
      <c r="E29" s="64"/>
      <c r="F29" s="64"/>
      <c r="G29" s="65"/>
      <c r="N29" s="55" t="s">
        <v>49</v>
      </c>
    </row>
    <row r="30" spans="1:15" ht="15.75" thickBot="1" x14ac:dyDescent="0.3">
      <c r="A30" s="88" t="s">
        <v>118</v>
      </c>
      <c r="B30" s="89" t="s">
        <v>119</v>
      </c>
      <c r="C30" s="89" t="s">
        <v>120</v>
      </c>
      <c r="D30" s="89" t="s">
        <v>121</v>
      </c>
      <c r="E30" s="89" t="s">
        <v>122</v>
      </c>
      <c r="F30" s="89" t="s">
        <v>123</v>
      </c>
      <c r="G30" s="90" t="s">
        <v>124</v>
      </c>
      <c r="N30" s="56" t="s">
        <v>57</v>
      </c>
    </row>
    <row r="31" spans="1:15" x14ac:dyDescent="0.25">
      <c r="A31" s="13" t="s">
        <v>32</v>
      </c>
      <c r="B31" s="11">
        <v>0.7</v>
      </c>
      <c r="C31" s="10">
        <f>SUM(I23:I27)*O21*O4*O8/B31</f>
        <v>77.221986454299412</v>
      </c>
      <c r="D31" s="11">
        <f>O9</f>
        <v>6.3131313131313135E-2</v>
      </c>
      <c r="E31" s="91">
        <f>C31/D31</f>
        <v>1223.1962654361025</v>
      </c>
      <c r="F31" s="92">
        <f>C31/1000/D31/3600</f>
        <v>3.3977674039891738E-4</v>
      </c>
      <c r="G31" s="93">
        <f>F31*O24</f>
        <v>0.79796052669442719</v>
      </c>
    </row>
    <row r="32" spans="1:15" ht="15.75" thickBot="1" x14ac:dyDescent="0.3">
      <c r="A32" s="43" t="s">
        <v>125</v>
      </c>
      <c r="B32" s="79">
        <v>0.7</v>
      </c>
      <c r="C32" s="79">
        <f>240*10/B32</f>
        <v>3428.5714285714289</v>
      </c>
      <c r="D32" s="79">
        <f>O9</f>
        <v>6.3131313131313135E-2</v>
      </c>
      <c r="E32" s="94">
        <f>C32/D32</f>
        <v>54308.571428571428</v>
      </c>
      <c r="F32" s="80">
        <f>C32/1000/D32/3600</f>
        <v>1.5085714285714286E-2</v>
      </c>
      <c r="G32" s="87">
        <f>F32*O24</f>
        <v>35.428571428571431</v>
      </c>
    </row>
    <row r="34" spans="7:7" x14ac:dyDescent="0.25">
      <c r="G34" s="95"/>
    </row>
  </sheetData>
  <mergeCells count="5">
    <mergeCell ref="A1:L1"/>
    <mergeCell ref="N2:O2"/>
    <mergeCell ref="N11:O11"/>
    <mergeCell ref="A21:I21"/>
    <mergeCell ref="A29:G2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0CD4C-CDE5-42F8-900A-9E29D25EE6E9}">
  <dimension ref="A1:O34"/>
  <sheetViews>
    <sheetView workbookViewId="0">
      <selection activeCell="G34" sqref="G34"/>
    </sheetView>
  </sheetViews>
  <sheetFormatPr defaultRowHeight="15" x14ac:dyDescent="0.25"/>
  <cols>
    <col min="1" max="1" width="30.28515625" bestFit="1" customWidth="1"/>
    <col min="2" max="2" width="22.85546875" bestFit="1" customWidth="1"/>
    <col min="3" max="3" width="22.42578125" bestFit="1" customWidth="1"/>
    <col min="4" max="4" width="26.28515625" bestFit="1" customWidth="1"/>
    <col min="5" max="5" width="29" bestFit="1" customWidth="1"/>
    <col min="6" max="6" width="26.28515625" bestFit="1" customWidth="1"/>
    <col min="7" max="7" width="31.42578125" bestFit="1" customWidth="1"/>
    <col min="8" max="8" width="27.7109375" bestFit="1" customWidth="1"/>
    <col min="9" max="9" width="17.7109375" bestFit="1" customWidth="1"/>
    <col min="10" max="10" width="23.85546875" bestFit="1" customWidth="1"/>
    <col min="11" max="11" width="14.28515625" bestFit="1" customWidth="1"/>
    <col min="12" max="12" width="15.28515625" bestFit="1" customWidth="1"/>
    <col min="14" max="14" width="24.42578125" bestFit="1" customWidth="1"/>
  </cols>
  <sheetData>
    <row r="1" spans="1:15" ht="15.75" thickBot="1" x14ac:dyDescent="0.3">
      <c r="A1" s="63" t="s">
        <v>62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5"/>
    </row>
    <row r="2" spans="1:15" ht="15.75" thickBot="1" x14ac:dyDescent="0.3">
      <c r="A2" s="37" t="s">
        <v>63</v>
      </c>
      <c r="B2" s="38" t="s">
        <v>64</v>
      </c>
      <c r="C2" s="38" t="s">
        <v>65</v>
      </c>
      <c r="D2" s="38" t="s">
        <v>66</v>
      </c>
      <c r="E2" s="38" t="s">
        <v>67</v>
      </c>
      <c r="F2" s="38" t="s">
        <v>68</v>
      </c>
      <c r="G2" s="38" t="s">
        <v>69</v>
      </c>
      <c r="H2" s="38" t="s">
        <v>70</v>
      </c>
      <c r="I2" s="38" t="s">
        <v>71</v>
      </c>
      <c r="J2" s="38" t="s">
        <v>72</v>
      </c>
      <c r="K2" s="38" t="s">
        <v>73</v>
      </c>
      <c r="L2" s="39" t="s">
        <v>74</v>
      </c>
      <c r="N2" s="1" t="s">
        <v>75</v>
      </c>
      <c r="O2" s="3"/>
    </row>
    <row r="3" spans="1:15" x14ac:dyDescent="0.25">
      <c r="A3" s="8" t="s">
        <v>76</v>
      </c>
      <c r="B3" s="40">
        <v>0.9</v>
      </c>
      <c r="C3" s="66">
        <f>B3*$O$22</f>
        <v>2.2859999999999998E-2</v>
      </c>
      <c r="D3" s="40">
        <v>1</v>
      </c>
      <c r="E3" s="40">
        <v>1</v>
      </c>
      <c r="F3" s="66">
        <f>E3*$O$23</f>
        <v>0.30480000000000002</v>
      </c>
      <c r="G3" s="40" t="s">
        <v>77</v>
      </c>
      <c r="H3" s="67">
        <f>$O$8/(PI()*C3^2/4)</f>
        <v>0.3076326913252877</v>
      </c>
      <c r="I3" s="67">
        <f>H3*C3/$O$6</f>
        <v>2930.201384873365</v>
      </c>
      <c r="J3" s="66">
        <f>0.002/1000/C3</f>
        <v>8.7489063867016631E-5</v>
      </c>
      <c r="K3" s="67">
        <f>16/I3</f>
        <v>5.460375550498716E-3</v>
      </c>
      <c r="L3" s="68">
        <f>K3*4*F3/C3</f>
        <v>0.29122002935993152</v>
      </c>
      <c r="N3" s="69" t="s">
        <v>3</v>
      </c>
      <c r="O3" s="14">
        <v>298</v>
      </c>
    </row>
    <row r="4" spans="1:15" x14ac:dyDescent="0.25">
      <c r="A4" s="15" t="s">
        <v>78</v>
      </c>
      <c r="B4" s="16">
        <v>0.9</v>
      </c>
      <c r="C4" s="70">
        <f t="shared" ref="C4:C19" si="0">B4*$O$22</f>
        <v>2.2859999999999998E-2</v>
      </c>
      <c r="D4" s="16">
        <v>1</v>
      </c>
      <c r="E4" s="16" t="s">
        <v>79</v>
      </c>
      <c r="F4" s="70" t="s">
        <v>79</v>
      </c>
      <c r="G4" s="16" t="s">
        <v>77</v>
      </c>
      <c r="H4" s="71">
        <f t="shared" ref="H4:H17" si="1">$O$8/(PI()*C4^2/4)</f>
        <v>0.3076326913252877</v>
      </c>
      <c r="I4" s="71">
        <f t="shared" ref="I4:I19" si="2">H4*C4/$O$6</f>
        <v>2930.201384873365</v>
      </c>
      <c r="J4" s="70" t="s">
        <v>79</v>
      </c>
      <c r="K4" s="71" t="s">
        <v>79</v>
      </c>
      <c r="L4" s="72">
        <f>300/I5+(0.017*(1+3.5/B5^0.3))</f>
        <v>0.18079276491882823</v>
      </c>
      <c r="N4" s="15" t="s">
        <v>80</v>
      </c>
      <c r="O4" s="20">
        <v>1000</v>
      </c>
    </row>
    <row r="5" spans="1:15" x14ac:dyDescent="0.25">
      <c r="A5" s="15" t="s">
        <v>81</v>
      </c>
      <c r="B5" s="16">
        <v>0.9</v>
      </c>
      <c r="C5" s="70">
        <f t="shared" si="0"/>
        <v>2.2859999999999998E-2</v>
      </c>
      <c r="D5" s="16">
        <v>1</v>
      </c>
      <c r="E5" s="16" t="s">
        <v>79</v>
      </c>
      <c r="F5" s="70" t="s">
        <v>79</v>
      </c>
      <c r="G5" s="16" t="s">
        <v>77</v>
      </c>
      <c r="H5" s="71">
        <f t="shared" si="1"/>
        <v>0.3076326913252877</v>
      </c>
      <c r="I5" s="71">
        <f t="shared" si="2"/>
        <v>2930.201384873365</v>
      </c>
      <c r="J5" s="70" t="s">
        <v>79</v>
      </c>
      <c r="K5" s="71" t="s">
        <v>79</v>
      </c>
      <c r="L5" s="72">
        <f>800/I6+(0.14*(1+4/B6^0.3))</f>
        <v>0.99100205608472236</v>
      </c>
      <c r="N5" s="15" t="s">
        <v>82</v>
      </c>
      <c r="O5" s="73">
        <f>2.4*10^-3</f>
        <v>2.3999999999999998E-3</v>
      </c>
    </row>
    <row r="6" spans="1:15" x14ac:dyDescent="0.25">
      <c r="A6" s="15" t="s">
        <v>83</v>
      </c>
      <c r="B6" s="16">
        <v>0.9</v>
      </c>
      <c r="C6" s="70">
        <f t="shared" si="0"/>
        <v>2.2859999999999998E-2</v>
      </c>
      <c r="D6" s="16">
        <v>1</v>
      </c>
      <c r="E6" s="16">
        <v>0.5</v>
      </c>
      <c r="F6" s="70">
        <f>E6*$O$23</f>
        <v>0.15240000000000001</v>
      </c>
      <c r="G6" s="16" t="s">
        <v>77</v>
      </c>
      <c r="H6" s="71">
        <f t="shared" si="1"/>
        <v>0.3076326913252877</v>
      </c>
      <c r="I6" s="71">
        <f t="shared" si="2"/>
        <v>2930.201384873365</v>
      </c>
      <c r="J6" s="70">
        <f>0.002/1000/C6</f>
        <v>8.7489063867016631E-5</v>
      </c>
      <c r="K6" s="71">
        <f t="shared" ref="K6:K19" si="3">16/I6</f>
        <v>5.460375550498716E-3</v>
      </c>
      <c r="L6" s="72">
        <f t="shared" ref="L6:L19" si="4">K6*4*F6/C6</f>
        <v>0.14561001467996576</v>
      </c>
      <c r="N6" s="15" t="s">
        <v>84</v>
      </c>
      <c r="O6" s="73">
        <f>O5/O4</f>
        <v>2.3999999999999999E-6</v>
      </c>
    </row>
    <row r="7" spans="1:15" x14ac:dyDescent="0.25">
      <c r="A7" s="15" t="s">
        <v>85</v>
      </c>
      <c r="B7" s="16">
        <v>0.9</v>
      </c>
      <c r="C7" s="70">
        <f t="shared" si="0"/>
        <v>2.2859999999999998E-2</v>
      </c>
      <c r="D7" s="16">
        <v>1</v>
      </c>
      <c r="E7" s="16">
        <v>0.5</v>
      </c>
      <c r="F7" s="70">
        <f>E7*$O$23</f>
        <v>0.15240000000000001</v>
      </c>
      <c r="G7" s="16" t="s">
        <v>77</v>
      </c>
      <c r="H7" s="71">
        <f t="shared" si="1"/>
        <v>0.3076326913252877</v>
      </c>
      <c r="I7" s="71">
        <f t="shared" si="2"/>
        <v>2930.201384873365</v>
      </c>
      <c r="J7" s="70">
        <f t="shared" ref="J7:J19" si="5">0.002/1000/C7</f>
        <v>8.7489063867016631E-5</v>
      </c>
      <c r="K7" s="71">
        <f t="shared" si="3"/>
        <v>5.460375550498716E-3</v>
      </c>
      <c r="L7" s="72">
        <f t="shared" si="4"/>
        <v>0.14561001467996576</v>
      </c>
      <c r="N7" s="15" t="s">
        <v>86</v>
      </c>
      <c r="O7" s="20">
        <v>2</v>
      </c>
    </row>
    <row r="8" spans="1:15" x14ac:dyDescent="0.25">
      <c r="A8" s="15" t="s">
        <v>87</v>
      </c>
      <c r="B8" s="16">
        <v>0.9</v>
      </c>
      <c r="C8" s="70">
        <f t="shared" si="0"/>
        <v>2.2859999999999998E-2</v>
      </c>
      <c r="D8" s="16">
        <v>1</v>
      </c>
      <c r="E8" s="16">
        <v>0.5</v>
      </c>
      <c r="F8" s="70">
        <f>E8*$O$23</f>
        <v>0.15240000000000001</v>
      </c>
      <c r="G8" s="16" t="s">
        <v>77</v>
      </c>
      <c r="H8" s="71">
        <f t="shared" si="1"/>
        <v>0.3076326913252877</v>
      </c>
      <c r="I8" s="71">
        <f t="shared" si="2"/>
        <v>2930.201384873365</v>
      </c>
      <c r="J8" s="70">
        <f t="shared" si="5"/>
        <v>8.7489063867016631E-5</v>
      </c>
      <c r="K8" s="71">
        <f t="shared" si="3"/>
        <v>5.460375550498716E-3</v>
      </c>
      <c r="L8" s="72">
        <f t="shared" si="4"/>
        <v>0.14561001467996576</v>
      </c>
      <c r="N8" s="15" t="s">
        <v>88</v>
      </c>
      <c r="O8" s="73">
        <f>O7/O16*O18/O20</f>
        <v>1.2626262626262626E-4</v>
      </c>
    </row>
    <row r="9" spans="1:15" ht="15.75" thickBot="1" x14ac:dyDescent="0.3">
      <c r="A9" s="15" t="s">
        <v>81</v>
      </c>
      <c r="B9" s="16">
        <v>0.9</v>
      </c>
      <c r="C9" s="70">
        <f t="shared" si="0"/>
        <v>2.2859999999999998E-2</v>
      </c>
      <c r="D9" s="16">
        <v>1</v>
      </c>
      <c r="E9" s="16" t="s">
        <v>79</v>
      </c>
      <c r="F9" s="70" t="s">
        <v>79</v>
      </c>
      <c r="G9" s="16" t="s">
        <v>77</v>
      </c>
      <c r="H9" s="71">
        <f t="shared" si="1"/>
        <v>0.3076326913252877</v>
      </c>
      <c r="I9" s="71">
        <f t="shared" si="2"/>
        <v>2930.201384873365</v>
      </c>
      <c r="J9" s="70" t="s">
        <v>79</v>
      </c>
      <c r="K9" s="71" t="s">
        <v>79</v>
      </c>
      <c r="L9" s="72">
        <f>800/I10+(0.14*(1+4/B10^0.3))</f>
        <v>0.99100205608472236</v>
      </c>
      <c r="N9" s="46" t="s">
        <v>89</v>
      </c>
      <c r="O9" s="44">
        <f>O8*O4</f>
        <v>0.12626262626262627</v>
      </c>
    </row>
    <row r="10" spans="1:15" ht="15.75" thickBot="1" x14ac:dyDescent="0.3">
      <c r="A10" s="15" t="s">
        <v>90</v>
      </c>
      <c r="B10" s="16">
        <v>0.9</v>
      </c>
      <c r="C10" s="70">
        <f t="shared" si="0"/>
        <v>2.2859999999999998E-2</v>
      </c>
      <c r="D10" s="16">
        <v>1</v>
      </c>
      <c r="E10" s="16" t="s">
        <v>79</v>
      </c>
      <c r="F10" s="70" t="s">
        <v>79</v>
      </c>
      <c r="G10" s="16" t="s">
        <v>77</v>
      </c>
      <c r="H10" s="71">
        <f t="shared" si="1"/>
        <v>0.3076326913252877</v>
      </c>
      <c r="I10" s="71">
        <f t="shared" si="2"/>
        <v>2930.201384873365</v>
      </c>
      <c r="J10" s="70" t="s">
        <v>79</v>
      </c>
      <c r="K10" s="71" t="s">
        <v>79</v>
      </c>
      <c r="L10" s="72">
        <f>300/I11+(0.017*(1+3.5/B11^0.3))</f>
        <v>0.18079276491882823</v>
      </c>
    </row>
    <row r="11" spans="1:15" ht="15.75" thickBot="1" x14ac:dyDescent="0.3">
      <c r="A11" s="15" t="s">
        <v>91</v>
      </c>
      <c r="B11" s="16">
        <v>0.9</v>
      </c>
      <c r="C11" s="70">
        <f t="shared" si="0"/>
        <v>2.2859999999999998E-2</v>
      </c>
      <c r="D11" s="16">
        <v>1</v>
      </c>
      <c r="E11" s="16">
        <v>1</v>
      </c>
      <c r="F11" s="70">
        <f>E11*$O$23</f>
        <v>0.30480000000000002</v>
      </c>
      <c r="G11" s="16" t="s">
        <v>77</v>
      </c>
      <c r="H11" s="71">
        <f t="shared" si="1"/>
        <v>0.3076326913252877</v>
      </c>
      <c r="I11" s="71">
        <f t="shared" si="2"/>
        <v>2930.201384873365</v>
      </c>
      <c r="J11" s="70">
        <f t="shared" si="5"/>
        <v>8.7489063867016631E-5</v>
      </c>
      <c r="K11" s="71">
        <f t="shared" si="3"/>
        <v>5.460375550498716E-3</v>
      </c>
      <c r="L11" s="72">
        <f t="shared" si="4"/>
        <v>0.29122002935993152</v>
      </c>
      <c r="N11" s="74" t="s">
        <v>92</v>
      </c>
      <c r="O11" s="75"/>
    </row>
    <row r="12" spans="1:15" x14ac:dyDescent="0.25">
      <c r="A12" s="15" t="s">
        <v>87</v>
      </c>
      <c r="B12" s="16">
        <v>0.9</v>
      </c>
      <c r="C12" s="70">
        <f t="shared" si="0"/>
        <v>2.2859999999999998E-2</v>
      </c>
      <c r="D12" s="16">
        <v>1</v>
      </c>
      <c r="E12" s="16">
        <v>1</v>
      </c>
      <c r="F12" s="70">
        <f>E12*$O$23</f>
        <v>0.30480000000000002</v>
      </c>
      <c r="G12" s="16" t="s">
        <v>77</v>
      </c>
      <c r="H12" s="71">
        <f t="shared" si="1"/>
        <v>0.3076326913252877</v>
      </c>
      <c r="I12" s="71">
        <f t="shared" si="2"/>
        <v>2930.201384873365</v>
      </c>
      <c r="J12" s="70">
        <f t="shared" si="5"/>
        <v>8.7489063867016631E-5</v>
      </c>
      <c r="K12" s="71">
        <f t="shared" si="3"/>
        <v>5.460375550498716E-3</v>
      </c>
      <c r="L12" s="72">
        <f t="shared" si="4"/>
        <v>0.29122002935993152</v>
      </c>
      <c r="N12" s="13" t="s">
        <v>15</v>
      </c>
      <c r="O12" s="14">
        <v>8.3000000000000004E-2</v>
      </c>
    </row>
    <row r="13" spans="1:15" x14ac:dyDescent="0.25">
      <c r="A13" s="15" t="s">
        <v>81</v>
      </c>
      <c r="B13" s="16">
        <v>0.9</v>
      </c>
      <c r="C13" s="70">
        <f t="shared" si="0"/>
        <v>2.2859999999999998E-2</v>
      </c>
      <c r="D13" s="16">
        <v>1</v>
      </c>
      <c r="E13" s="16" t="s">
        <v>79</v>
      </c>
      <c r="F13" s="70" t="s">
        <v>79</v>
      </c>
      <c r="G13" s="16" t="s">
        <v>77</v>
      </c>
      <c r="H13" s="71">
        <f t="shared" si="1"/>
        <v>0.3076326913252877</v>
      </c>
      <c r="I13" s="71">
        <f t="shared" si="2"/>
        <v>2930.201384873365</v>
      </c>
      <c r="J13" s="70" t="s">
        <v>79</v>
      </c>
      <c r="K13" s="71" t="s">
        <v>79</v>
      </c>
      <c r="L13" s="72">
        <f>800/I14+(0.14*(1+4/B14^0.3))</f>
        <v>0.99100205608472236</v>
      </c>
      <c r="N13" s="19" t="s">
        <v>17</v>
      </c>
      <c r="O13" s="20">
        <v>14.5</v>
      </c>
    </row>
    <row r="14" spans="1:15" x14ac:dyDescent="0.25">
      <c r="A14" s="15" t="s">
        <v>93</v>
      </c>
      <c r="B14" s="16">
        <v>0.9</v>
      </c>
      <c r="C14" s="70">
        <f t="shared" si="0"/>
        <v>2.2859999999999998E-2</v>
      </c>
      <c r="D14" s="16">
        <v>1</v>
      </c>
      <c r="E14" s="16">
        <v>1</v>
      </c>
      <c r="F14" s="70">
        <f>E14*$O$23</f>
        <v>0.30480000000000002</v>
      </c>
      <c r="G14" s="16" t="s">
        <v>77</v>
      </c>
      <c r="H14" s="71">
        <f t="shared" si="1"/>
        <v>0.3076326913252877</v>
      </c>
      <c r="I14" s="71">
        <f t="shared" si="2"/>
        <v>2930.201384873365</v>
      </c>
      <c r="J14" s="70">
        <f t="shared" si="5"/>
        <v>8.7489063867016631E-5</v>
      </c>
      <c r="K14" s="71">
        <f t="shared" si="3"/>
        <v>5.460375550498716E-3</v>
      </c>
      <c r="L14" s="72">
        <f t="shared" si="4"/>
        <v>0.29122002935993152</v>
      </c>
      <c r="N14" s="19" t="s">
        <v>36</v>
      </c>
      <c r="O14" s="20">
        <v>62</v>
      </c>
    </row>
    <row r="15" spans="1:15" x14ac:dyDescent="0.25">
      <c r="A15" s="15" t="s">
        <v>87</v>
      </c>
      <c r="B15" s="16">
        <v>0.9</v>
      </c>
      <c r="C15" s="70">
        <f t="shared" si="0"/>
        <v>2.2859999999999998E-2</v>
      </c>
      <c r="D15" s="16">
        <v>1</v>
      </c>
      <c r="E15" s="16">
        <v>1</v>
      </c>
      <c r="F15" s="70">
        <f>E15*$O$23</f>
        <v>0.30480000000000002</v>
      </c>
      <c r="G15" s="16" t="s">
        <v>77</v>
      </c>
      <c r="H15" s="71">
        <f t="shared" si="1"/>
        <v>0.3076326913252877</v>
      </c>
      <c r="I15" s="71">
        <f t="shared" si="2"/>
        <v>2930.201384873365</v>
      </c>
      <c r="J15" s="70">
        <f t="shared" si="5"/>
        <v>8.7489063867016631E-5</v>
      </c>
      <c r="K15" s="71">
        <f t="shared" si="3"/>
        <v>5.460375550498716E-3</v>
      </c>
      <c r="L15" s="72">
        <f t="shared" si="4"/>
        <v>0.29122002935993152</v>
      </c>
      <c r="N15" s="19" t="s">
        <v>94</v>
      </c>
      <c r="O15" s="20">
        <f>O14/O16*O18</f>
        <v>0.23484848484848486</v>
      </c>
    </row>
    <row r="16" spans="1:15" x14ac:dyDescent="0.25">
      <c r="A16" s="15" t="s">
        <v>81</v>
      </c>
      <c r="B16" s="16">
        <v>0.9</v>
      </c>
      <c r="C16" s="70">
        <f t="shared" si="0"/>
        <v>2.2859999999999998E-2</v>
      </c>
      <c r="D16" s="16">
        <v>1</v>
      </c>
      <c r="E16" s="16" t="s">
        <v>79</v>
      </c>
      <c r="F16" s="70" t="s">
        <v>79</v>
      </c>
      <c r="G16" s="16" t="s">
        <v>77</v>
      </c>
      <c r="H16" s="71">
        <f t="shared" si="1"/>
        <v>0.3076326913252877</v>
      </c>
      <c r="I16" s="71">
        <f t="shared" si="2"/>
        <v>2930.201384873365</v>
      </c>
      <c r="J16" s="70" t="s">
        <v>79</v>
      </c>
      <c r="K16" s="71" t="s">
        <v>79</v>
      </c>
      <c r="L16" s="72">
        <f>800/I17+(0.14*(1+4/B17^0.3))</f>
        <v>0.99100205608472236</v>
      </c>
      <c r="N16" s="19" t="s">
        <v>19</v>
      </c>
      <c r="O16" s="20">
        <v>0.26400000000000001</v>
      </c>
    </row>
    <row r="17" spans="1:15" x14ac:dyDescent="0.25">
      <c r="A17" s="15" t="s">
        <v>87</v>
      </c>
      <c r="B17" s="16">
        <v>0.9</v>
      </c>
      <c r="C17" s="70">
        <f t="shared" si="0"/>
        <v>2.2859999999999998E-2</v>
      </c>
      <c r="D17" s="16">
        <v>1</v>
      </c>
      <c r="E17" s="16">
        <v>1</v>
      </c>
      <c r="F17" s="70">
        <f>E17*$O$23</f>
        <v>0.30480000000000002</v>
      </c>
      <c r="G17" s="16" t="s">
        <v>77</v>
      </c>
      <c r="H17" s="71">
        <f t="shared" si="1"/>
        <v>0.3076326913252877</v>
      </c>
      <c r="I17" s="71">
        <f t="shared" si="2"/>
        <v>2930.201384873365</v>
      </c>
      <c r="J17" s="70">
        <f t="shared" si="5"/>
        <v>8.7489063867016631E-5</v>
      </c>
      <c r="K17" s="71">
        <f t="shared" si="3"/>
        <v>5.460375550498716E-3</v>
      </c>
      <c r="L17" s="72">
        <f t="shared" si="4"/>
        <v>0.29122002935993152</v>
      </c>
      <c r="N17" s="19" t="s">
        <v>21</v>
      </c>
      <c r="O17" s="20">
        <f>O12*O13*O16</f>
        <v>0.31772400000000001</v>
      </c>
    </row>
    <row r="18" spans="1:15" x14ac:dyDescent="0.25">
      <c r="A18" s="15" t="s">
        <v>81</v>
      </c>
      <c r="B18" s="16">
        <v>0.9</v>
      </c>
      <c r="C18" s="70">
        <f t="shared" si="0"/>
        <v>2.2859999999999998E-2</v>
      </c>
      <c r="D18" s="16">
        <v>1</v>
      </c>
      <c r="E18" s="76" t="s">
        <v>79</v>
      </c>
      <c r="F18" s="70" t="s">
        <v>79</v>
      </c>
      <c r="G18" s="16" t="s">
        <v>77</v>
      </c>
      <c r="H18" s="71">
        <f>$O$8/(PI()*C18^2/4)</f>
        <v>0.3076326913252877</v>
      </c>
      <c r="I18" s="71">
        <f>H18*C18/$O$6</f>
        <v>2930.201384873365</v>
      </c>
      <c r="J18" s="70" t="s">
        <v>79</v>
      </c>
      <c r="K18" s="71" t="s">
        <v>79</v>
      </c>
      <c r="L18" s="72">
        <f>800/I19+(0.14*(1+4/B19^0.3))</f>
        <v>0.99100205608472236</v>
      </c>
      <c r="N18" s="19" t="s">
        <v>95</v>
      </c>
      <c r="O18" s="73">
        <v>1E-3</v>
      </c>
    </row>
    <row r="19" spans="1:15" ht="15.75" thickBot="1" x14ac:dyDescent="0.3">
      <c r="A19" s="46" t="s">
        <v>96</v>
      </c>
      <c r="B19" s="77">
        <v>0.9</v>
      </c>
      <c r="C19" s="78">
        <f t="shared" si="0"/>
        <v>2.2859999999999998E-2</v>
      </c>
      <c r="D19" s="77">
        <v>1</v>
      </c>
      <c r="E19" s="79">
        <v>0.5</v>
      </c>
      <c r="F19" s="78">
        <f>E19*$O$23</f>
        <v>0.15240000000000001</v>
      </c>
      <c r="G19" s="77" t="s">
        <v>77</v>
      </c>
      <c r="H19" s="80">
        <f>$O$8/(PI()*C19^2/4)</f>
        <v>0.3076326913252877</v>
      </c>
      <c r="I19" s="80">
        <f t="shared" si="2"/>
        <v>2930.201384873365</v>
      </c>
      <c r="J19" s="78">
        <f t="shared" si="5"/>
        <v>8.7489063867016631E-5</v>
      </c>
      <c r="K19" s="80">
        <f t="shared" si="3"/>
        <v>5.460375550498716E-3</v>
      </c>
      <c r="L19" s="81">
        <f t="shared" si="4"/>
        <v>0.14561001467996576</v>
      </c>
      <c r="N19" s="19" t="s">
        <v>43</v>
      </c>
      <c r="O19" s="20">
        <v>44.01</v>
      </c>
    </row>
    <row r="20" spans="1:15" ht="15.75" thickBot="1" x14ac:dyDescent="0.3">
      <c r="E20" s="82"/>
      <c r="N20" s="19" t="s">
        <v>97</v>
      </c>
      <c r="O20" s="20">
        <v>60</v>
      </c>
    </row>
    <row r="21" spans="1:15" ht="15.75" thickBot="1" x14ac:dyDescent="0.3">
      <c r="A21" s="63" t="s">
        <v>98</v>
      </c>
      <c r="B21" s="64"/>
      <c r="C21" s="64"/>
      <c r="D21" s="64"/>
      <c r="E21" s="64"/>
      <c r="F21" s="64"/>
      <c r="G21" s="64"/>
      <c r="H21" s="64"/>
      <c r="I21" s="65"/>
      <c r="N21" s="19" t="s">
        <v>99</v>
      </c>
      <c r="O21" s="20">
        <v>9.8000000000000007</v>
      </c>
    </row>
    <row r="22" spans="1:15" ht="15.75" thickBot="1" x14ac:dyDescent="0.3">
      <c r="A22" s="37" t="s">
        <v>1</v>
      </c>
      <c r="B22" s="38" t="s">
        <v>100</v>
      </c>
      <c r="C22" s="38" t="s">
        <v>101</v>
      </c>
      <c r="D22" s="38" t="s">
        <v>102</v>
      </c>
      <c r="E22" s="38" t="s">
        <v>103</v>
      </c>
      <c r="F22" s="38" t="s">
        <v>104</v>
      </c>
      <c r="G22" s="38" t="s">
        <v>105</v>
      </c>
      <c r="H22" s="38" t="s">
        <v>106</v>
      </c>
      <c r="I22" s="39" t="s">
        <v>107</v>
      </c>
      <c r="N22" s="19" t="s">
        <v>108</v>
      </c>
      <c r="O22" s="20">
        <v>2.5399999999999999E-2</v>
      </c>
    </row>
    <row r="23" spans="1:15" x14ac:dyDescent="0.25">
      <c r="A23" s="8" t="s">
        <v>109</v>
      </c>
      <c r="B23" s="40">
        <v>30</v>
      </c>
      <c r="C23" s="66">
        <f>B23*$O$25</f>
        <v>206844</v>
      </c>
      <c r="D23" s="66">
        <f>C23/$O$4/$O$21</f>
        <v>21.106530612244896</v>
      </c>
      <c r="E23" s="40">
        <v>5</v>
      </c>
      <c r="F23" s="66">
        <f>E23*O23</f>
        <v>1.524</v>
      </c>
      <c r="G23" s="67" cm="1">
        <f t="array" ref="G23">SUM(L3:L19/(C3:C19)^4)</f>
        <v>27999457.217120301</v>
      </c>
      <c r="H23" s="67">
        <f>G23*8*O8^2/(O21*PI()^2)</f>
        <v>3.6920146457640017E-2</v>
      </c>
      <c r="I23" s="83">
        <f>H23+F23+D23</f>
        <v>22.667450758702536</v>
      </c>
      <c r="N23" s="19" t="s">
        <v>110</v>
      </c>
      <c r="O23" s="20">
        <v>0.30480000000000002</v>
      </c>
    </row>
    <row r="24" spans="1:15" x14ac:dyDescent="0.25">
      <c r="A24" s="15" t="s">
        <v>111</v>
      </c>
      <c r="B24" s="16">
        <v>35</v>
      </c>
      <c r="C24" s="70">
        <f t="shared" ref="C24:C27" si="6">B24*$O$25</f>
        <v>241318</v>
      </c>
      <c r="D24" s="70">
        <f>C24/$O$4/$O$21</f>
        <v>24.624285714285715</v>
      </c>
      <c r="E24" s="45"/>
      <c r="F24" s="45"/>
      <c r="G24" s="45"/>
      <c r="H24" s="45"/>
      <c r="I24" s="84">
        <f>H24+F24+D24</f>
        <v>24.624285714285715</v>
      </c>
      <c r="N24" s="85" t="s">
        <v>112</v>
      </c>
      <c r="O24" s="86">
        <f>O14/O16*O18*O4</f>
        <v>234.84848484848487</v>
      </c>
    </row>
    <row r="25" spans="1:15" ht="15.75" thickBot="1" x14ac:dyDescent="0.3">
      <c r="A25" s="15" t="s">
        <v>113</v>
      </c>
      <c r="B25" s="16">
        <v>35</v>
      </c>
      <c r="C25" s="70">
        <f t="shared" si="6"/>
        <v>241318</v>
      </c>
      <c r="D25" s="70">
        <f>C25/$O$4/$O$21</f>
        <v>24.624285714285715</v>
      </c>
      <c r="E25" s="45"/>
      <c r="F25" s="45"/>
      <c r="G25" s="45"/>
      <c r="H25" s="45"/>
      <c r="I25" s="84">
        <f t="shared" ref="I25:I27" si="7">H25+F25+D25</f>
        <v>24.624285714285715</v>
      </c>
      <c r="N25" s="43" t="s">
        <v>114</v>
      </c>
      <c r="O25" s="44">
        <v>6894.8</v>
      </c>
    </row>
    <row r="26" spans="1:15" ht="15.75" thickBot="1" x14ac:dyDescent="0.3">
      <c r="A26" s="15" t="s">
        <v>115</v>
      </c>
      <c r="B26" s="16">
        <v>20</v>
      </c>
      <c r="C26" s="70">
        <f t="shared" si="6"/>
        <v>137896</v>
      </c>
      <c r="D26" s="70">
        <f>C26/$O$4/$O$21</f>
        <v>14.071020408163262</v>
      </c>
      <c r="E26" s="45"/>
      <c r="F26" s="45"/>
      <c r="G26" s="45"/>
      <c r="H26" s="45"/>
      <c r="I26" s="84">
        <f t="shared" si="7"/>
        <v>14.071020408163262</v>
      </c>
    </row>
    <row r="27" spans="1:15" ht="15.75" thickBot="1" x14ac:dyDescent="0.3">
      <c r="A27" s="46" t="s">
        <v>116</v>
      </c>
      <c r="B27" s="77">
        <v>2</v>
      </c>
      <c r="C27" s="78">
        <f t="shared" si="6"/>
        <v>13789.6</v>
      </c>
      <c r="D27" s="78">
        <f>C27/$O$4/$O$21</f>
        <v>1.4071020408163264</v>
      </c>
      <c r="E27" s="47"/>
      <c r="F27" s="47"/>
      <c r="G27" s="47"/>
      <c r="H27" s="47"/>
      <c r="I27" s="87">
        <f t="shared" si="7"/>
        <v>1.4071020408163264</v>
      </c>
      <c r="N27" s="50" t="s">
        <v>46</v>
      </c>
    </row>
    <row r="28" spans="1:15" ht="15.75" thickBot="1" x14ac:dyDescent="0.3">
      <c r="N28" s="51" t="s">
        <v>47</v>
      </c>
    </row>
    <row r="29" spans="1:15" ht="15.75" thickBot="1" x14ac:dyDescent="0.3">
      <c r="A29" s="63" t="s">
        <v>117</v>
      </c>
      <c r="B29" s="64"/>
      <c r="C29" s="64"/>
      <c r="D29" s="64"/>
      <c r="E29" s="64"/>
      <c r="F29" s="64"/>
      <c r="G29" s="65"/>
      <c r="N29" s="55" t="s">
        <v>49</v>
      </c>
    </row>
    <row r="30" spans="1:15" ht="15.75" thickBot="1" x14ac:dyDescent="0.3">
      <c r="A30" s="88" t="s">
        <v>118</v>
      </c>
      <c r="B30" s="89" t="s">
        <v>119</v>
      </c>
      <c r="C30" s="89" t="s">
        <v>120</v>
      </c>
      <c r="D30" s="89" t="s">
        <v>121</v>
      </c>
      <c r="E30" s="89" t="s">
        <v>122</v>
      </c>
      <c r="F30" s="89" t="s">
        <v>123</v>
      </c>
      <c r="G30" s="90" t="s">
        <v>124</v>
      </c>
      <c r="N30" s="56" t="s">
        <v>57</v>
      </c>
    </row>
    <row r="31" spans="1:15" x14ac:dyDescent="0.25">
      <c r="A31" s="13" t="s">
        <v>32</v>
      </c>
      <c r="B31" s="11">
        <v>0.7</v>
      </c>
      <c r="C31" s="10">
        <f>SUM(I23:I27)*O21*O4*O8/B31</f>
        <v>154.48459910448861</v>
      </c>
      <c r="D31" s="11">
        <f>O9</f>
        <v>0.12626262626262627</v>
      </c>
      <c r="E31" s="91">
        <f>C31/D31</f>
        <v>1223.5180249075497</v>
      </c>
      <c r="F31" s="92">
        <f>C31/1000/D31/3600</f>
        <v>3.3986611802987491E-4</v>
      </c>
      <c r="G31" s="93">
        <f>F31*O24</f>
        <v>7.9817042870652444E-2</v>
      </c>
    </row>
    <row r="32" spans="1:15" ht="15.75" thickBot="1" x14ac:dyDescent="0.3">
      <c r="A32" s="43" t="s">
        <v>125</v>
      </c>
      <c r="B32" s="79">
        <v>0.7</v>
      </c>
      <c r="C32" s="79">
        <f>240*10/B32</f>
        <v>3428.5714285714289</v>
      </c>
      <c r="D32" s="79">
        <f>O9</f>
        <v>0.12626262626262627</v>
      </c>
      <c r="E32" s="94">
        <f>C32/D32</f>
        <v>27154.285714285714</v>
      </c>
      <c r="F32" s="80">
        <f>C32/1000/D32/3600</f>
        <v>7.5428571428571428E-3</v>
      </c>
      <c r="G32" s="87">
        <f>F32*O24</f>
        <v>1.7714285714285716</v>
      </c>
    </row>
    <row r="34" spans="7:7" x14ac:dyDescent="0.25">
      <c r="G34" s="95"/>
    </row>
  </sheetData>
  <mergeCells count="5">
    <mergeCell ref="A1:L1"/>
    <mergeCell ref="N2:O2"/>
    <mergeCell ref="N11:O11"/>
    <mergeCell ref="A21:I21"/>
    <mergeCell ref="A29:G2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56405-DE4D-47E8-AA30-5CA510FB736E}">
  <dimension ref="A1:O34"/>
  <sheetViews>
    <sheetView workbookViewId="0">
      <selection activeCell="G34" sqref="G34"/>
    </sheetView>
  </sheetViews>
  <sheetFormatPr defaultRowHeight="15" x14ac:dyDescent="0.25"/>
  <cols>
    <col min="1" max="1" width="30.28515625" bestFit="1" customWidth="1"/>
    <col min="2" max="2" width="22.85546875" bestFit="1" customWidth="1"/>
    <col min="3" max="3" width="22.42578125" bestFit="1" customWidth="1"/>
    <col min="4" max="4" width="26.28515625" bestFit="1" customWidth="1"/>
    <col min="5" max="5" width="29" bestFit="1" customWidth="1"/>
    <col min="6" max="6" width="26.28515625" bestFit="1" customWidth="1"/>
    <col min="7" max="7" width="31.42578125" bestFit="1" customWidth="1"/>
    <col min="8" max="8" width="27.7109375" bestFit="1" customWidth="1"/>
    <col min="9" max="9" width="17.7109375" bestFit="1" customWidth="1"/>
    <col min="10" max="10" width="23.85546875" bestFit="1" customWidth="1"/>
    <col min="11" max="11" width="14.28515625" bestFit="1" customWidth="1"/>
    <col min="12" max="12" width="15.28515625" bestFit="1" customWidth="1"/>
    <col min="14" max="14" width="24.42578125" bestFit="1" customWidth="1"/>
  </cols>
  <sheetData>
    <row r="1" spans="1:15" ht="15.75" thickBot="1" x14ac:dyDescent="0.3">
      <c r="A1" s="63" t="s">
        <v>62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5"/>
    </row>
    <row r="2" spans="1:15" ht="15.75" thickBot="1" x14ac:dyDescent="0.3">
      <c r="A2" s="37" t="s">
        <v>63</v>
      </c>
      <c r="B2" s="38" t="s">
        <v>64</v>
      </c>
      <c r="C2" s="38" t="s">
        <v>65</v>
      </c>
      <c r="D2" s="38" t="s">
        <v>66</v>
      </c>
      <c r="E2" s="38" t="s">
        <v>67</v>
      </c>
      <c r="F2" s="38" t="s">
        <v>68</v>
      </c>
      <c r="G2" s="38" t="s">
        <v>69</v>
      </c>
      <c r="H2" s="38" t="s">
        <v>70</v>
      </c>
      <c r="I2" s="38" t="s">
        <v>71</v>
      </c>
      <c r="J2" s="38" t="s">
        <v>72</v>
      </c>
      <c r="K2" s="38" t="s">
        <v>73</v>
      </c>
      <c r="L2" s="39" t="s">
        <v>74</v>
      </c>
      <c r="N2" s="1" t="s">
        <v>75</v>
      </c>
      <c r="O2" s="3"/>
    </row>
    <row r="3" spans="1:15" x14ac:dyDescent="0.25">
      <c r="A3" s="8" t="s">
        <v>76</v>
      </c>
      <c r="B3" s="40">
        <v>0.9</v>
      </c>
      <c r="C3" s="66">
        <f>B3*$O$22</f>
        <v>2.2859999999999998E-2</v>
      </c>
      <c r="D3" s="40">
        <v>1</v>
      </c>
      <c r="E3" s="40">
        <v>1</v>
      </c>
      <c r="F3" s="66">
        <f>E3*$O$23</f>
        <v>0.30480000000000002</v>
      </c>
      <c r="G3" s="40" t="s">
        <v>77</v>
      </c>
      <c r="H3" s="67">
        <f>$O$8/(PI()*C3^2/4)</f>
        <v>7.6908172831321925E-2</v>
      </c>
      <c r="I3" s="67">
        <f>H3*C3/$O$6</f>
        <v>732.55034621834125</v>
      </c>
      <c r="J3" s="66">
        <f>0.002/1000/C3</f>
        <v>8.7489063867016631E-5</v>
      </c>
      <c r="K3" s="67">
        <f>16/I3</f>
        <v>2.1841502201994864E-2</v>
      </c>
      <c r="L3" s="68">
        <f>K3*4*F3/C3</f>
        <v>1.1648801174397261</v>
      </c>
      <c r="N3" s="69" t="s">
        <v>3</v>
      </c>
      <c r="O3" s="14">
        <v>298</v>
      </c>
    </row>
    <row r="4" spans="1:15" x14ac:dyDescent="0.25">
      <c r="A4" s="15" t="s">
        <v>78</v>
      </c>
      <c r="B4" s="16">
        <v>0.9</v>
      </c>
      <c r="C4" s="70">
        <f t="shared" ref="C4:C19" si="0">B4*$O$22</f>
        <v>2.2859999999999998E-2</v>
      </c>
      <c r="D4" s="16">
        <v>1</v>
      </c>
      <c r="E4" s="16" t="s">
        <v>79</v>
      </c>
      <c r="F4" s="70" t="s">
        <v>79</v>
      </c>
      <c r="G4" s="16" t="s">
        <v>77</v>
      </c>
      <c r="H4" s="71">
        <f t="shared" ref="H4:H17" si="1">$O$8/(PI()*C4^2/4)</f>
        <v>7.6908172831321925E-2</v>
      </c>
      <c r="I4" s="71">
        <f t="shared" ref="I4:I19" si="2">H4*C4/$O$6</f>
        <v>732.55034621834125</v>
      </c>
      <c r="J4" s="70" t="s">
        <v>79</v>
      </c>
      <c r="K4" s="71" t="s">
        <v>79</v>
      </c>
      <c r="L4" s="72">
        <f>300/I5+(0.017*(1+3.5/B5^0.3))</f>
        <v>0.48793888963438098</v>
      </c>
      <c r="N4" s="15" t="s">
        <v>80</v>
      </c>
      <c r="O4" s="20">
        <v>1000</v>
      </c>
    </row>
    <row r="5" spans="1:15" x14ac:dyDescent="0.25">
      <c r="A5" s="15" t="s">
        <v>81</v>
      </c>
      <c r="B5" s="16">
        <v>0.9</v>
      </c>
      <c r="C5" s="70">
        <f t="shared" si="0"/>
        <v>2.2859999999999998E-2</v>
      </c>
      <c r="D5" s="16">
        <v>1</v>
      </c>
      <c r="E5" s="16" t="s">
        <v>79</v>
      </c>
      <c r="F5" s="70" t="s">
        <v>79</v>
      </c>
      <c r="G5" s="16" t="s">
        <v>77</v>
      </c>
      <c r="H5" s="71">
        <f t="shared" si="1"/>
        <v>7.6908172831321925E-2</v>
      </c>
      <c r="I5" s="71">
        <f t="shared" si="2"/>
        <v>732.55034621834125</v>
      </c>
      <c r="J5" s="70" t="s">
        <v>79</v>
      </c>
      <c r="K5" s="71" t="s">
        <v>79</v>
      </c>
      <c r="L5" s="72">
        <f>800/I6+(0.14*(1+4/B6^0.3))</f>
        <v>1.8100583886595296</v>
      </c>
      <c r="N5" s="15" t="s">
        <v>82</v>
      </c>
      <c r="O5" s="73">
        <f>2.4*10^-3</f>
        <v>2.3999999999999998E-3</v>
      </c>
    </row>
    <row r="6" spans="1:15" x14ac:dyDescent="0.25">
      <c r="A6" s="15" t="s">
        <v>83</v>
      </c>
      <c r="B6" s="16">
        <v>0.9</v>
      </c>
      <c r="C6" s="70">
        <f t="shared" si="0"/>
        <v>2.2859999999999998E-2</v>
      </c>
      <c r="D6" s="16">
        <v>1</v>
      </c>
      <c r="E6" s="16">
        <v>0.5</v>
      </c>
      <c r="F6" s="70">
        <f>E6*$O$23</f>
        <v>0.15240000000000001</v>
      </c>
      <c r="G6" s="16" t="s">
        <v>77</v>
      </c>
      <c r="H6" s="71">
        <f t="shared" si="1"/>
        <v>7.6908172831321925E-2</v>
      </c>
      <c r="I6" s="71">
        <f t="shared" si="2"/>
        <v>732.55034621834125</v>
      </c>
      <c r="J6" s="70">
        <f>0.002/1000/C6</f>
        <v>8.7489063867016631E-5</v>
      </c>
      <c r="K6" s="71">
        <f t="shared" ref="K6:K19" si="3">16/I6</f>
        <v>2.1841502201994864E-2</v>
      </c>
      <c r="L6" s="72">
        <f t="shared" ref="L6:L19" si="4">K6*4*F6/C6</f>
        <v>0.58244005871986304</v>
      </c>
      <c r="N6" s="15" t="s">
        <v>84</v>
      </c>
      <c r="O6" s="73">
        <f>O5/O4</f>
        <v>2.3999999999999999E-6</v>
      </c>
    </row>
    <row r="7" spans="1:15" x14ac:dyDescent="0.25">
      <c r="A7" s="15" t="s">
        <v>85</v>
      </c>
      <c r="B7" s="16">
        <v>0.9</v>
      </c>
      <c r="C7" s="70">
        <f t="shared" si="0"/>
        <v>2.2859999999999998E-2</v>
      </c>
      <c r="D7" s="16">
        <v>1</v>
      </c>
      <c r="E7" s="16">
        <v>0.5</v>
      </c>
      <c r="F7" s="70">
        <f>E7*$O$23</f>
        <v>0.15240000000000001</v>
      </c>
      <c r="G7" s="16" t="s">
        <v>77</v>
      </c>
      <c r="H7" s="71">
        <f t="shared" si="1"/>
        <v>7.6908172831321925E-2</v>
      </c>
      <c r="I7" s="71">
        <f t="shared" si="2"/>
        <v>732.55034621834125</v>
      </c>
      <c r="J7" s="70">
        <f t="shared" ref="J7:J19" si="5">0.002/1000/C7</f>
        <v>8.7489063867016631E-5</v>
      </c>
      <c r="K7" s="71">
        <f t="shared" si="3"/>
        <v>2.1841502201994864E-2</v>
      </c>
      <c r="L7" s="72">
        <f t="shared" si="4"/>
        <v>0.58244005871986304</v>
      </c>
      <c r="N7" s="15" t="s">
        <v>86</v>
      </c>
      <c r="O7" s="20">
        <v>0.5</v>
      </c>
    </row>
    <row r="8" spans="1:15" x14ac:dyDescent="0.25">
      <c r="A8" s="15" t="s">
        <v>87</v>
      </c>
      <c r="B8" s="16">
        <v>0.9</v>
      </c>
      <c r="C8" s="70">
        <f t="shared" si="0"/>
        <v>2.2859999999999998E-2</v>
      </c>
      <c r="D8" s="16">
        <v>1</v>
      </c>
      <c r="E8" s="16">
        <v>0.5</v>
      </c>
      <c r="F8" s="70">
        <f>E8*$O$23</f>
        <v>0.15240000000000001</v>
      </c>
      <c r="G8" s="16" t="s">
        <v>77</v>
      </c>
      <c r="H8" s="71">
        <f t="shared" si="1"/>
        <v>7.6908172831321925E-2</v>
      </c>
      <c r="I8" s="71">
        <f t="shared" si="2"/>
        <v>732.55034621834125</v>
      </c>
      <c r="J8" s="70">
        <f t="shared" si="5"/>
        <v>8.7489063867016631E-5</v>
      </c>
      <c r="K8" s="71">
        <f t="shared" si="3"/>
        <v>2.1841502201994864E-2</v>
      </c>
      <c r="L8" s="72">
        <f t="shared" si="4"/>
        <v>0.58244005871986304</v>
      </c>
      <c r="N8" s="15" t="s">
        <v>88</v>
      </c>
      <c r="O8" s="73">
        <f>O7/O16*O18/O20</f>
        <v>3.1565656565656566E-5</v>
      </c>
    </row>
    <row r="9" spans="1:15" ht="15.75" thickBot="1" x14ac:dyDescent="0.3">
      <c r="A9" s="15" t="s">
        <v>81</v>
      </c>
      <c r="B9" s="16">
        <v>0.9</v>
      </c>
      <c r="C9" s="70">
        <f t="shared" si="0"/>
        <v>2.2859999999999998E-2</v>
      </c>
      <c r="D9" s="16">
        <v>1</v>
      </c>
      <c r="E9" s="16" t="s">
        <v>79</v>
      </c>
      <c r="F9" s="70" t="s">
        <v>79</v>
      </c>
      <c r="G9" s="16" t="s">
        <v>77</v>
      </c>
      <c r="H9" s="71">
        <f t="shared" si="1"/>
        <v>7.6908172831321925E-2</v>
      </c>
      <c r="I9" s="71">
        <f t="shared" si="2"/>
        <v>732.55034621834125</v>
      </c>
      <c r="J9" s="70" t="s">
        <v>79</v>
      </c>
      <c r="K9" s="71" t="s">
        <v>79</v>
      </c>
      <c r="L9" s="72">
        <f>800/I10+(0.14*(1+4/B10^0.3))</f>
        <v>1.8100583886595296</v>
      </c>
      <c r="N9" s="46" t="s">
        <v>89</v>
      </c>
      <c r="O9" s="44">
        <f>O8*O4</f>
        <v>3.1565656565656568E-2</v>
      </c>
    </row>
    <row r="10" spans="1:15" ht="15.75" thickBot="1" x14ac:dyDescent="0.3">
      <c r="A10" s="15" t="s">
        <v>90</v>
      </c>
      <c r="B10" s="16">
        <v>0.9</v>
      </c>
      <c r="C10" s="70">
        <f t="shared" si="0"/>
        <v>2.2859999999999998E-2</v>
      </c>
      <c r="D10" s="16">
        <v>1</v>
      </c>
      <c r="E10" s="16" t="s">
        <v>79</v>
      </c>
      <c r="F10" s="70" t="s">
        <v>79</v>
      </c>
      <c r="G10" s="16" t="s">
        <v>77</v>
      </c>
      <c r="H10" s="71">
        <f t="shared" si="1"/>
        <v>7.6908172831321925E-2</v>
      </c>
      <c r="I10" s="71">
        <f t="shared" si="2"/>
        <v>732.55034621834125</v>
      </c>
      <c r="J10" s="70" t="s">
        <v>79</v>
      </c>
      <c r="K10" s="71" t="s">
        <v>79</v>
      </c>
      <c r="L10" s="72">
        <f>300/I11+(0.017*(1+3.5/B11^0.3))</f>
        <v>0.48793888963438098</v>
      </c>
    </row>
    <row r="11" spans="1:15" ht="15.75" thickBot="1" x14ac:dyDescent="0.3">
      <c r="A11" s="15" t="s">
        <v>91</v>
      </c>
      <c r="B11" s="16">
        <v>0.9</v>
      </c>
      <c r="C11" s="70">
        <f t="shared" si="0"/>
        <v>2.2859999999999998E-2</v>
      </c>
      <c r="D11" s="16">
        <v>1</v>
      </c>
      <c r="E11" s="16">
        <v>1</v>
      </c>
      <c r="F11" s="70">
        <f>E11*$O$23</f>
        <v>0.30480000000000002</v>
      </c>
      <c r="G11" s="16" t="s">
        <v>77</v>
      </c>
      <c r="H11" s="71">
        <f t="shared" si="1"/>
        <v>7.6908172831321925E-2</v>
      </c>
      <c r="I11" s="71">
        <f t="shared" si="2"/>
        <v>732.55034621834125</v>
      </c>
      <c r="J11" s="70">
        <f t="shared" si="5"/>
        <v>8.7489063867016631E-5</v>
      </c>
      <c r="K11" s="71">
        <f t="shared" si="3"/>
        <v>2.1841502201994864E-2</v>
      </c>
      <c r="L11" s="72">
        <f t="shared" si="4"/>
        <v>1.1648801174397261</v>
      </c>
      <c r="N11" s="74" t="s">
        <v>92</v>
      </c>
      <c r="O11" s="75"/>
    </row>
    <row r="12" spans="1:15" x14ac:dyDescent="0.25">
      <c r="A12" s="15" t="s">
        <v>87</v>
      </c>
      <c r="B12" s="16">
        <v>0.9</v>
      </c>
      <c r="C12" s="70">
        <f t="shared" si="0"/>
        <v>2.2859999999999998E-2</v>
      </c>
      <c r="D12" s="16">
        <v>1</v>
      </c>
      <c r="E12" s="16">
        <v>1</v>
      </c>
      <c r="F12" s="70">
        <f>E12*$O$23</f>
        <v>0.30480000000000002</v>
      </c>
      <c r="G12" s="16" t="s">
        <v>77</v>
      </c>
      <c r="H12" s="71">
        <f t="shared" si="1"/>
        <v>7.6908172831321925E-2</v>
      </c>
      <c r="I12" s="71">
        <f t="shared" si="2"/>
        <v>732.55034621834125</v>
      </c>
      <c r="J12" s="70">
        <f t="shared" si="5"/>
        <v>8.7489063867016631E-5</v>
      </c>
      <c r="K12" s="71">
        <f t="shared" si="3"/>
        <v>2.1841502201994864E-2</v>
      </c>
      <c r="L12" s="72">
        <f t="shared" si="4"/>
        <v>1.1648801174397261</v>
      </c>
      <c r="N12" s="13" t="s">
        <v>15</v>
      </c>
      <c r="O12" s="14">
        <v>8.3000000000000004E-2</v>
      </c>
    </row>
    <row r="13" spans="1:15" x14ac:dyDescent="0.25">
      <c r="A13" s="15" t="s">
        <v>81</v>
      </c>
      <c r="B13" s="16">
        <v>0.9</v>
      </c>
      <c r="C13" s="70">
        <f t="shared" si="0"/>
        <v>2.2859999999999998E-2</v>
      </c>
      <c r="D13" s="16">
        <v>1</v>
      </c>
      <c r="E13" s="16" t="s">
        <v>79</v>
      </c>
      <c r="F13" s="70" t="s">
        <v>79</v>
      </c>
      <c r="G13" s="16" t="s">
        <v>77</v>
      </c>
      <c r="H13" s="71">
        <f t="shared" si="1"/>
        <v>7.6908172831321925E-2</v>
      </c>
      <c r="I13" s="71">
        <f t="shared" si="2"/>
        <v>732.55034621834125</v>
      </c>
      <c r="J13" s="70" t="s">
        <v>79</v>
      </c>
      <c r="K13" s="71" t="s">
        <v>79</v>
      </c>
      <c r="L13" s="72">
        <f>800/I14+(0.14*(1+4/B14^0.3))</f>
        <v>1.8100583886595296</v>
      </c>
      <c r="N13" s="19" t="s">
        <v>17</v>
      </c>
      <c r="O13" s="20">
        <v>14.5</v>
      </c>
    </row>
    <row r="14" spans="1:15" x14ac:dyDescent="0.25">
      <c r="A14" s="15" t="s">
        <v>93</v>
      </c>
      <c r="B14" s="16">
        <v>0.9</v>
      </c>
      <c r="C14" s="70">
        <f t="shared" si="0"/>
        <v>2.2859999999999998E-2</v>
      </c>
      <c r="D14" s="16">
        <v>1</v>
      </c>
      <c r="E14" s="16">
        <v>1</v>
      </c>
      <c r="F14" s="70">
        <f>E14*$O$23</f>
        <v>0.30480000000000002</v>
      </c>
      <c r="G14" s="16" t="s">
        <v>77</v>
      </c>
      <c r="H14" s="71">
        <f t="shared" si="1"/>
        <v>7.6908172831321925E-2</v>
      </c>
      <c r="I14" s="71">
        <f t="shared" si="2"/>
        <v>732.55034621834125</v>
      </c>
      <c r="J14" s="70">
        <f t="shared" si="5"/>
        <v>8.7489063867016631E-5</v>
      </c>
      <c r="K14" s="71">
        <f t="shared" si="3"/>
        <v>2.1841502201994864E-2</v>
      </c>
      <c r="L14" s="72">
        <f t="shared" si="4"/>
        <v>1.1648801174397261</v>
      </c>
      <c r="N14" s="19" t="s">
        <v>36</v>
      </c>
      <c r="O14" s="20">
        <v>62</v>
      </c>
    </row>
    <row r="15" spans="1:15" x14ac:dyDescent="0.25">
      <c r="A15" s="15" t="s">
        <v>87</v>
      </c>
      <c r="B15" s="16">
        <v>0.9</v>
      </c>
      <c r="C15" s="70">
        <f t="shared" si="0"/>
        <v>2.2859999999999998E-2</v>
      </c>
      <c r="D15" s="16">
        <v>1</v>
      </c>
      <c r="E15" s="16">
        <v>1</v>
      </c>
      <c r="F15" s="70">
        <f>E15*$O$23</f>
        <v>0.30480000000000002</v>
      </c>
      <c r="G15" s="16" t="s">
        <v>77</v>
      </c>
      <c r="H15" s="71">
        <f t="shared" si="1"/>
        <v>7.6908172831321925E-2</v>
      </c>
      <c r="I15" s="71">
        <f t="shared" si="2"/>
        <v>732.55034621834125</v>
      </c>
      <c r="J15" s="70">
        <f t="shared" si="5"/>
        <v>8.7489063867016631E-5</v>
      </c>
      <c r="K15" s="71">
        <f t="shared" si="3"/>
        <v>2.1841502201994864E-2</v>
      </c>
      <c r="L15" s="72">
        <f t="shared" si="4"/>
        <v>1.1648801174397261</v>
      </c>
      <c r="N15" s="19" t="s">
        <v>94</v>
      </c>
      <c r="O15" s="20">
        <f>O14/O16*O18</f>
        <v>0.23484848484848486</v>
      </c>
    </row>
    <row r="16" spans="1:15" x14ac:dyDescent="0.25">
      <c r="A16" s="15" t="s">
        <v>81</v>
      </c>
      <c r="B16" s="16">
        <v>0.9</v>
      </c>
      <c r="C16" s="70">
        <f t="shared" si="0"/>
        <v>2.2859999999999998E-2</v>
      </c>
      <c r="D16" s="16">
        <v>1</v>
      </c>
      <c r="E16" s="16" t="s">
        <v>79</v>
      </c>
      <c r="F16" s="70" t="s">
        <v>79</v>
      </c>
      <c r="G16" s="16" t="s">
        <v>77</v>
      </c>
      <c r="H16" s="71">
        <f t="shared" si="1"/>
        <v>7.6908172831321925E-2</v>
      </c>
      <c r="I16" s="71">
        <f t="shared" si="2"/>
        <v>732.55034621834125</v>
      </c>
      <c r="J16" s="70" t="s">
        <v>79</v>
      </c>
      <c r="K16" s="71" t="s">
        <v>79</v>
      </c>
      <c r="L16" s="72">
        <f>800/I17+(0.14*(1+4/B17^0.3))</f>
        <v>1.8100583886595296</v>
      </c>
      <c r="N16" s="19" t="s">
        <v>19</v>
      </c>
      <c r="O16" s="20">
        <v>0.26400000000000001</v>
      </c>
    </row>
    <row r="17" spans="1:15" x14ac:dyDescent="0.25">
      <c r="A17" s="15" t="s">
        <v>87</v>
      </c>
      <c r="B17" s="16">
        <v>0.9</v>
      </c>
      <c r="C17" s="70">
        <f t="shared" si="0"/>
        <v>2.2859999999999998E-2</v>
      </c>
      <c r="D17" s="16">
        <v>1</v>
      </c>
      <c r="E17" s="16">
        <v>1</v>
      </c>
      <c r="F17" s="70">
        <f>E17*$O$23</f>
        <v>0.30480000000000002</v>
      </c>
      <c r="G17" s="16" t="s">
        <v>77</v>
      </c>
      <c r="H17" s="71">
        <f t="shared" si="1"/>
        <v>7.6908172831321925E-2</v>
      </c>
      <c r="I17" s="71">
        <f t="shared" si="2"/>
        <v>732.55034621834125</v>
      </c>
      <c r="J17" s="70">
        <f t="shared" si="5"/>
        <v>8.7489063867016631E-5</v>
      </c>
      <c r="K17" s="71">
        <f t="shared" si="3"/>
        <v>2.1841502201994864E-2</v>
      </c>
      <c r="L17" s="72">
        <f t="shared" si="4"/>
        <v>1.1648801174397261</v>
      </c>
      <c r="N17" s="19" t="s">
        <v>21</v>
      </c>
      <c r="O17" s="20">
        <f>O12*O13*O16</f>
        <v>0.31772400000000001</v>
      </c>
    </row>
    <row r="18" spans="1:15" x14ac:dyDescent="0.25">
      <c r="A18" s="15" t="s">
        <v>81</v>
      </c>
      <c r="B18" s="16">
        <v>0.9</v>
      </c>
      <c r="C18" s="70">
        <f t="shared" si="0"/>
        <v>2.2859999999999998E-2</v>
      </c>
      <c r="D18" s="16">
        <v>1</v>
      </c>
      <c r="E18" s="76" t="s">
        <v>79</v>
      </c>
      <c r="F18" s="70" t="s">
        <v>79</v>
      </c>
      <c r="G18" s="16" t="s">
        <v>77</v>
      </c>
      <c r="H18" s="71">
        <f>$O$8/(PI()*C18^2/4)</f>
        <v>7.6908172831321925E-2</v>
      </c>
      <c r="I18" s="71">
        <f>H18*C18/$O$6</f>
        <v>732.55034621834125</v>
      </c>
      <c r="J18" s="70" t="s">
        <v>79</v>
      </c>
      <c r="K18" s="71" t="s">
        <v>79</v>
      </c>
      <c r="L18" s="72">
        <f>800/I19+(0.14*(1+4/B19^0.3))</f>
        <v>1.8100583886595296</v>
      </c>
      <c r="N18" s="19" t="s">
        <v>95</v>
      </c>
      <c r="O18" s="73">
        <v>1E-3</v>
      </c>
    </row>
    <row r="19" spans="1:15" ht="15.75" thickBot="1" x14ac:dyDescent="0.3">
      <c r="A19" s="46" t="s">
        <v>96</v>
      </c>
      <c r="B19" s="77">
        <v>0.9</v>
      </c>
      <c r="C19" s="78">
        <f t="shared" si="0"/>
        <v>2.2859999999999998E-2</v>
      </c>
      <c r="D19" s="77">
        <v>1</v>
      </c>
      <c r="E19" s="79">
        <v>0.5</v>
      </c>
      <c r="F19" s="78">
        <f>E19*$O$23</f>
        <v>0.15240000000000001</v>
      </c>
      <c r="G19" s="77" t="s">
        <v>77</v>
      </c>
      <c r="H19" s="80">
        <f>$O$8/(PI()*C19^2/4)</f>
        <v>7.6908172831321925E-2</v>
      </c>
      <c r="I19" s="80">
        <f t="shared" si="2"/>
        <v>732.55034621834125</v>
      </c>
      <c r="J19" s="78">
        <f t="shared" si="5"/>
        <v>8.7489063867016631E-5</v>
      </c>
      <c r="K19" s="80">
        <f t="shared" si="3"/>
        <v>2.1841502201994864E-2</v>
      </c>
      <c r="L19" s="81">
        <f t="shared" si="4"/>
        <v>0.58244005871986304</v>
      </c>
      <c r="N19" s="19" t="s">
        <v>43</v>
      </c>
      <c r="O19" s="20">
        <v>44.01</v>
      </c>
    </row>
    <row r="20" spans="1:15" ht="15.75" thickBot="1" x14ac:dyDescent="0.3">
      <c r="E20" s="82"/>
      <c r="N20" s="19" t="s">
        <v>97</v>
      </c>
      <c r="O20" s="20">
        <v>60</v>
      </c>
    </row>
    <row r="21" spans="1:15" ht="15.75" thickBot="1" x14ac:dyDescent="0.3">
      <c r="A21" s="63" t="s">
        <v>98</v>
      </c>
      <c r="B21" s="64"/>
      <c r="C21" s="64"/>
      <c r="D21" s="64"/>
      <c r="E21" s="64"/>
      <c r="F21" s="64"/>
      <c r="G21" s="64"/>
      <c r="H21" s="64"/>
      <c r="I21" s="65"/>
      <c r="N21" s="19" t="s">
        <v>99</v>
      </c>
      <c r="O21" s="20">
        <v>9.8000000000000007</v>
      </c>
    </row>
    <row r="22" spans="1:15" ht="15.75" thickBot="1" x14ac:dyDescent="0.3">
      <c r="A22" s="37" t="s">
        <v>1</v>
      </c>
      <c r="B22" s="38" t="s">
        <v>100</v>
      </c>
      <c r="C22" s="38" t="s">
        <v>101</v>
      </c>
      <c r="D22" s="38" t="s">
        <v>102</v>
      </c>
      <c r="E22" s="38" t="s">
        <v>103</v>
      </c>
      <c r="F22" s="38" t="s">
        <v>104</v>
      </c>
      <c r="G22" s="38" t="s">
        <v>105</v>
      </c>
      <c r="H22" s="38" t="s">
        <v>106</v>
      </c>
      <c r="I22" s="39" t="s">
        <v>107</v>
      </c>
      <c r="N22" s="19" t="s">
        <v>108</v>
      </c>
      <c r="O22" s="20">
        <v>2.5399999999999999E-2</v>
      </c>
    </row>
    <row r="23" spans="1:15" x14ac:dyDescent="0.25">
      <c r="A23" s="8" t="s">
        <v>109</v>
      </c>
      <c r="B23" s="40">
        <v>30</v>
      </c>
      <c r="C23" s="66">
        <f>B23*$O$25</f>
        <v>206844</v>
      </c>
      <c r="D23" s="66">
        <f>C23/$O$4/$O$21</f>
        <v>21.106530612244896</v>
      </c>
      <c r="E23" s="40">
        <v>5</v>
      </c>
      <c r="F23" s="66">
        <f>E23*O23</f>
        <v>1.524</v>
      </c>
      <c r="G23" s="67" cm="1">
        <f t="array" ref="G23">SUM(L3:L19/(C3:C19)^4)</f>
        <v>70838369.949229613</v>
      </c>
      <c r="H23" s="67">
        <f>G23*8*O8^2/(O21*PI()^2)</f>
        <v>5.837976994217578E-3</v>
      </c>
      <c r="I23" s="83">
        <f>H23+F23+D23</f>
        <v>22.636368589239112</v>
      </c>
      <c r="N23" s="19" t="s">
        <v>110</v>
      </c>
      <c r="O23" s="20">
        <v>0.30480000000000002</v>
      </c>
    </row>
    <row r="24" spans="1:15" x14ac:dyDescent="0.25">
      <c r="A24" s="15" t="s">
        <v>111</v>
      </c>
      <c r="B24" s="16">
        <v>35</v>
      </c>
      <c r="C24" s="70">
        <f t="shared" ref="C24:C27" si="6">B24*$O$25</f>
        <v>241318</v>
      </c>
      <c r="D24" s="70">
        <f>C24/$O$4/$O$21</f>
        <v>24.624285714285715</v>
      </c>
      <c r="E24" s="45"/>
      <c r="F24" s="45"/>
      <c r="G24" s="45"/>
      <c r="H24" s="45"/>
      <c r="I24" s="84">
        <f>H24+F24+D24</f>
        <v>24.624285714285715</v>
      </c>
      <c r="N24" s="85" t="s">
        <v>112</v>
      </c>
      <c r="O24" s="86">
        <f>O14/O16*O18*O4</f>
        <v>234.84848484848487</v>
      </c>
    </row>
    <row r="25" spans="1:15" ht="15.75" thickBot="1" x14ac:dyDescent="0.3">
      <c r="A25" s="15" t="s">
        <v>113</v>
      </c>
      <c r="B25" s="16">
        <v>35</v>
      </c>
      <c r="C25" s="70">
        <f t="shared" si="6"/>
        <v>241318</v>
      </c>
      <c r="D25" s="70">
        <f>C25/$O$4/$O$21</f>
        <v>24.624285714285715</v>
      </c>
      <c r="E25" s="45"/>
      <c r="F25" s="45"/>
      <c r="G25" s="45"/>
      <c r="H25" s="45"/>
      <c r="I25" s="84">
        <f t="shared" ref="I25:I27" si="7">H25+F25+D25</f>
        <v>24.624285714285715</v>
      </c>
      <c r="N25" s="43" t="s">
        <v>114</v>
      </c>
      <c r="O25" s="44">
        <v>6894.8</v>
      </c>
    </row>
    <row r="26" spans="1:15" ht="15.75" thickBot="1" x14ac:dyDescent="0.3">
      <c r="A26" s="15" t="s">
        <v>115</v>
      </c>
      <c r="B26" s="16">
        <v>20</v>
      </c>
      <c r="C26" s="70">
        <f t="shared" si="6"/>
        <v>137896</v>
      </c>
      <c r="D26" s="70">
        <f>C26/$O$4/$O$21</f>
        <v>14.071020408163262</v>
      </c>
      <c r="E26" s="45"/>
      <c r="F26" s="45"/>
      <c r="G26" s="45"/>
      <c r="H26" s="45"/>
      <c r="I26" s="84">
        <f t="shared" si="7"/>
        <v>14.071020408163262</v>
      </c>
    </row>
    <row r="27" spans="1:15" ht="15.75" thickBot="1" x14ac:dyDescent="0.3">
      <c r="A27" s="46" t="s">
        <v>116</v>
      </c>
      <c r="B27" s="77">
        <v>2</v>
      </c>
      <c r="C27" s="78">
        <f t="shared" si="6"/>
        <v>13789.6</v>
      </c>
      <c r="D27" s="78">
        <f>C27/$O$4/$O$21</f>
        <v>1.4071020408163264</v>
      </c>
      <c r="E27" s="47"/>
      <c r="F27" s="47"/>
      <c r="G27" s="47"/>
      <c r="H27" s="47"/>
      <c r="I27" s="87">
        <f t="shared" si="7"/>
        <v>1.4071020408163264</v>
      </c>
      <c r="N27" s="50" t="s">
        <v>46</v>
      </c>
    </row>
    <row r="28" spans="1:15" ht="15.75" thickBot="1" x14ac:dyDescent="0.3">
      <c r="N28" s="51" t="s">
        <v>47</v>
      </c>
    </row>
    <row r="29" spans="1:15" ht="15.75" thickBot="1" x14ac:dyDescent="0.3">
      <c r="A29" s="63" t="s">
        <v>117</v>
      </c>
      <c r="B29" s="64"/>
      <c r="C29" s="64"/>
      <c r="D29" s="64"/>
      <c r="E29" s="64"/>
      <c r="F29" s="64"/>
      <c r="G29" s="65"/>
      <c r="N29" s="55" t="s">
        <v>49</v>
      </c>
    </row>
    <row r="30" spans="1:15" ht="15.75" thickBot="1" x14ac:dyDescent="0.3">
      <c r="A30" s="88" t="s">
        <v>118</v>
      </c>
      <c r="B30" s="89" t="s">
        <v>119</v>
      </c>
      <c r="C30" s="89" t="s">
        <v>120</v>
      </c>
      <c r="D30" s="89" t="s">
        <v>121</v>
      </c>
      <c r="E30" s="89" t="s">
        <v>122</v>
      </c>
      <c r="F30" s="89" t="s">
        <v>123</v>
      </c>
      <c r="G30" s="90" t="s">
        <v>124</v>
      </c>
      <c r="N30" s="56" t="s">
        <v>57</v>
      </c>
    </row>
    <row r="31" spans="1:15" x14ac:dyDescent="0.25">
      <c r="A31" s="13" t="s">
        <v>32</v>
      </c>
      <c r="B31" s="11">
        <v>0.7</v>
      </c>
      <c r="C31" s="10">
        <f>SUM(I23:I27)*O21*O4*O8/B31</f>
        <v>38.607413968909782</v>
      </c>
      <c r="D31" s="11">
        <f>O9</f>
        <v>3.1565656565656568E-2</v>
      </c>
      <c r="E31" s="91">
        <f>C31/D31</f>
        <v>1223.0828745350618</v>
      </c>
      <c r="F31" s="92">
        <f>C31/1000/D31/3600</f>
        <v>3.3974524292640601E-4</v>
      </c>
      <c r="G31" s="93">
        <f>F31*O24</f>
        <v>7.9788655535746877E-2</v>
      </c>
    </row>
    <row r="32" spans="1:15" ht="15.75" thickBot="1" x14ac:dyDescent="0.3">
      <c r="A32" s="43" t="s">
        <v>125</v>
      </c>
      <c r="B32" s="79">
        <v>0.7</v>
      </c>
      <c r="C32" s="79">
        <f>240*10/B32</f>
        <v>3428.5714285714289</v>
      </c>
      <c r="D32" s="79">
        <f>O9</f>
        <v>3.1565656565656568E-2</v>
      </c>
      <c r="E32" s="94">
        <f>C32/D32</f>
        <v>108617.14285714286</v>
      </c>
      <c r="F32" s="80">
        <f>C32/1000/D32/3600</f>
        <v>3.0171428571428571E-2</v>
      </c>
      <c r="G32" s="87">
        <f>F32*O24</f>
        <v>7.0857142857142863</v>
      </c>
    </row>
    <row r="34" spans="7:7" x14ac:dyDescent="0.25">
      <c r="G34" s="95"/>
    </row>
  </sheetData>
  <mergeCells count="5">
    <mergeCell ref="A1:L1"/>
    <mergeCell ref="N2:O2"/>
    <mergeCell ref="N11:O11"/>
    <mergeCell ref="A21:I21"/>
    <mergeCell ref="A29:G29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042BE-D304-4487-8600-9F16A76ECE12}">
  <dimension ref="A1:O34"/>
  <sheetViews>
    <sheetView workbookViewId="0">
      <selection activeCell="E33" sqref="E33"/>
    </sheetView>
  </sheetViews>
  <sheetFormatPr defaultRowHeight="15" x14ac:dyDescent="0.25"/>
  <cols>
    <col min="1" max="1" width="30.28515625" bestFit="1" customWidth="1"/>
    <col min="2" max="2" width="22.85546875" bestFit="1" customWidth="1"/>
    <col min="3" max="3" width="22.42578125" bestFit="1" customWidth="1"/>
    <col min="4" max="4" width="26.28515625" bestFit="1" customWidth="1"/>
    <col min="5" max="5" width="29" bestFit="1" customWidth="1"/>
    <col min="6" max="6" width="26.28515625" bestFit="1" customWidth="1"/>
    <col min="7" max="7" width="31.42578125" bestFit="1" customWidth="1"/>
    <col min="8" max="8" width="27.7109375" bestFit="1" customWidth="1"/>
    <col min="9" max="9" width="17.7109375" bestFit="1" customWidth="1"/>
    <col min="10" max="10" width="23.85546875" bestFit="1" customWidth="1"/>
    <col min="11" max="11" width="14.28515625" bestFit="1" customWidth="1"/>
    <col min="12" max="12" width="15.28515625" bestFit="1" customWidth="1"/>
    <col min="14" max="14" width="24.42578125" bestFit="1" customWidth="1"/>
  </cols>
  <sheetData>
    <row r="1" spans="1:15" ht="15.75" thickBot="1" x14ac:dyDescent="0.3">
      <c r="A1" s="63" t="s">
        <v>62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5"/>
    </row>
    <row r="2" spans="1:15" ht="15.75" thickBot="1" x14ac:dyDescent="0.3">
      <c r="A2" s="37" t="s">
        <v>63</v>
      </c>
      <c r="B2" s="38" t="s">
        <v>64</v>
      </c>
      <c r="C2" s="38" t="s">
        <v>65</v>
      </c>
      <c r="D2" s="38" t="s">
        <v>66</v>
      </c>
      <c r="E2" s="38" t="s">
        <v>67</v>
      </c>
      <c r="F2" s="38" t="s">
        <v>68</v>
      </c>
      <c r="G2" s="38" t="s">
        <v>69</v>
      </c>
      <c r="H2" s="38" t="s">
        <v>70</v>
      </c>
      <c r="I2" s="38" t="s">
        <v>71</v>
      </c>
      <c r="J2" s="38" t="s">
        <v>72</v>
      </c>
      <c r="K2" s="38" t="s">
        <v>73</v>
      </c>
      <c r="L2" s="39" t="s">
        <v>74</v>
      </c>
      <c r="N2" s="1" t="s">
        <v>75</v>
      </c>
      <c r="O2" s="3"/>
    </row>
    <row r="3" spans="1:15" x14ac:dyDescent="0.25">
      <c r="A3" s="8" t="s">
        <v>76</v>
      </c>
      <c r="B3" s="40">
        <v>0.9</v>
      </c>
      <c r="C3" s="66">
        <f>B3*$O$22</f>
        <v>2.2859999999999998E-2</v>
      </c>
      <c r="D3" s="40">
        <v>1</v>
      </c>
      <c r="E3" s="40">
        <v>1</v>
      </c>
      <c r="F3" s="66">
        <f>E3*$O$23</f>
        <v>0.30480000000000002</v>
      </c>
      <c r="G3" s="40" t="s">
        <v>77</v>
      </c>
      <c r="H3" s="67">
        <f>$O$8/(PI()*C3^2/4)</f>
        <v>3.8454086415660962E-2</v>
      </c>
      <c r="I3" s="67">
        <f>H3*C3/$O$6</f>
        <v>366.27517310917062</v>
      </c>
      <c r="J3" s="66">
        <f>0.002/1000/C3</f>
        <v>8.7489063867016631E-5</v>
      </c>
      <c r="K3" s="67">
        <f>16/I3</f>
        <v>4.3683004403989728E-2</v>
      </c>
      <c r="L3" s="68">
        <f>K3*4*F3/C3</f>
        <v>2.3297602348794522</v>
      </c>
      <c r="N3" s="69" t="s">
        <v>3</v>
      </c>
      <c r="O3" s="14">
        <v>298</v>
      </c>
    </row>
    <row r="4" spans="1:15" x14ac:dyDescent="0.25">
      <c r="A4" s="15" t="s">
        <v>78</v>
      </c>
      <c r="B4" s="16">
        <v>0.9</v>
      </c>
      <c r="C4" s="70">
        <f t="shared" ref="C4:C19" si="0">B4*$O$22</f>
        <v>2.2859999999999998E-2</v>
      </c>
      <c r="D4" s="16">
        <v>1</v>
      </c>
      <c r="E4" s="16" t="s">
        <v>79</v>
      </c>
      <c r="F4" s="70" t="s">
        <v>79</v>
      </c>
      <c r="G4" s="16" t="s">
        <v>77</v>
      </c>
      <c r="H4" s="71">
        <f t="shared" ref="H4:H17" si="1">$O$8/(PI()*C4^2/4)</f>
        <v>3.8454086415660962E-2</v>
      </c>
      <c r="I4" s="71">
        <f t="shared" ref="I4:I19" si="2">H4*C4/$O$6</f>
        <v>366.27517310917062</v>
      </c>
      <c r="J4" s="70" t="s">
        <v>79</v>
      </c>
      <c r="K4" s="71" t="s">
        <v>79</v>
      </c>
      <c r="L4" s="72">
        <f>300/I5+(0.017*(1+3.5/B5^0.3))</f>
        <v>0.89746705592178466</v>
      </c>
      <c r="N4" s="15" t="s">
        <v>80</v>
      </c>
      <c r="O4" s="20">
        <v>1000</v>
      </c>
    </row>
    <row r="5" spans="1:15" x14ac:dyDescent="0.25">
      <c r="A5" s="15" t="s">
        <v>81</v>
      </c>
      <c r="B5" s="16">
        <v>0.9</v>
      </c>
      <c r="C5" s="70">
        <f t="shared" si="0"/>
        <v>2.2859999999999998E-2</v>
      </c>
      <c r="D5" s="16">
        <v>1</v>
      </c>
      <c r="E5" s="16" t="s">
        <v>79</v>
      </c>
      <c r="F5" s="70" t="s">
        <v>79</v>
      </c>
      <c r="G5" s="16" t="s">
        <v>77</v>
      </c>
      <c r="H5" s="71">
        <f t="shared" si="1"/>
        <v>3.8454086415660962E-2</v>
      </c>
      <c r="I5" s="71">
        <f t="shared" si="2"/>
        <v>366.27517310917062</v>
      </c>
      <c r="J5" s="70" t="s">
        <v>79</v>
      </c>
      <c r="K5" s="71" t="s">
        <v>79</v>
      </c>
      <c r="L5" s="72">
        <f>800/I6+(0.14*(1+4/B6^0.3))</f>
        <v>2.9021334987592731</v>
      </c>
      <c r="N5" s="15" t="s">
        <v>82</v>
      </c>
      <c r="O5" s="73">
        <f>2.4*10^-3</f>
        <v>2.3999999999999998E-3</v>
      </c>
    </row>
    <row r="6" spans="1:15" x14ac:dyDescent="0.25">
      <c r="A6" s="15" t="s">
        <v>83</v>
      </c>
      <c r="B6" s="16">
        <v>0.9</v>
      </c>
      <c r="C6" s="70">
        <f t="shared" si="0"/>
        <v>2.2859999999999998E-2</v>
      </c>
      <c r="D6" s="16">
        <v>1</v>
      </c>
      <c r="E6" s="16">
        <v>0.5</v>
      </c>
      <c r="F6" s="70">
        <f>E6*$O$23</f>
        <v>0.15240000000000001</v>
      </c>
      <c r="G6" s="16" t="s">
        <v>77</v>
      </c>
      <c r="H6" s="71">
        <f t="shared" si="1"/>
        <v>3.8454086415660962E-2</v>
      </c>
      <c r="I6" s="71">
        <f t="shared" si="2"/>
        <v>366.27517310917062</v>
      </c>
      <c r="J6" s="70">
        <f>0.002/1000/C6</f>
        <v>8.7489063867016631E-5</v>
      </c>
      <c r="K6" s="71">
        <f t="shared" ref="K6:K19" si="3">16/I6</f>
        <v>4.3683004403989728E-2</v>
      </c>
      <c r="L6" s="72">
        <f t="shared" ref="L6:L19" si="4">K6*4*F6/C6</f>
        <v>1.1648801174397261</v>
      </c>
      <c r="N6" s="15" t="s">
        <v>84</v>
      </c>
      <c r="O6" s="73">
        <f>O5/O4</f>
        <v>2.3999999999999999E-6</v>
      </c>
    </row>
    <row r="7" spans="1:15" x14ac:dyDescent="0.25">
      <c r="A7" s="15" t="s">
        <v>85</v>
      </c>
      <c r="B7" s="16">
        <v>0.9</v>
      </c>
      <c r="C7" s="70">
        <f t="shared" si="0"/>
        <v>2.2859999999999998E-2</v>
      </c>
      <c r="D7" s="16">
        <v>1</v>
      </c>
      <c r="E7" s="16">
        <v>0.5</v>
      </c>
      <c r="F7" s="70">
        <f>E7*$O$23</f>
        <v>0.15240000000000001</v>
      </c>
      <c r="G7" s="16" t="s">
        <v>77</v>
      </c>
      <c r="H7" s="71">
        <f t="shared" si="1"/>
        <v>3.8454086415660962E-2</v>
      </c>
      <c r="I7" s="71">
        <f t="shared" si="2"/>
        <v>366.27517310917062</v>
      </c>
      <c r="J7" s="70">
        <f t="shared" ref="J7:J19" si="5">0.002/1000/C7</f>
        <v>8.7489063867016631E-5</v>
      </c>
      <c r="K7" s="71">
        <f t="shared" si="3"/>
        <v>4.3683004403989728E-2</v>
      </c>
      <c r="L7" s="72">
        <f t="shared" si="4"/>
        <v>1.1648801174397261</v>
      </c>
      <c r="N7" s="15" t="s">
        <v>86</v>
      </c>
      <c r="O7" s="20">
        <v>0.25</v>
      </c>
    </row>
    <row r="8" spans="1:15" x14ac:dyDescent="0.25">
      <c r="A8" s="15" t="s">
        <v>87</v>
      </c>
      <c r="B8" s="16">
        <v>0.9</v>
      </c>
      <c r="C8" s="70">
        <f t="shared" si="0"/>
        <v>2.2859999999999998E-2</v>
      </c>
      <c r="D8" s="16">
        <v>1</v>
      </c>
      <c r="E8" s="16">
        <v>0.5</v>
      </c>
      <c r="F8" s="70">
        <f>E8*$O$23</f>
        <v>0.15240000000000001</v>
      </c>
      <c r="G8" s="16" t="s">
        <v>77</v>
      </c>
      <c r="H8" s="71">
        <f t="shared" si="1"/>
        <v>3.8454086415660962E-2</v>
      </c>
      <c r="I8" s="71">
        <f t="shared" si="2"/>
        <v>366.27517310917062</v>
      </c>
      <c r="J8" s="70">
        <f t="shared" si="5"/>
        <v>8.7489063867016631E-5</v>
      </c>
      <c r="K8" s="71">
        <f t="shared" si="3"/>
        <v>4.3683004403989728E-2</v>
      </c>
      <c r="L8" s="72">
        <f t="shared" si="4"/>
        <v>1.1648801174397261</v>
      </c>
      <c r="N8" s="15" t="s">
        <v>88</v>
      </c>
      <c r="O8" s="73">
        <f>O7/O16*O18/O20</f>
        <v>1.5782828282828283E-5</v>
      </c>
    </row>
    <row r="9" spans="1:15" ht="15.75" thickBot="1" x14ac:dyDescent="0.3">
      <c r="A9" s="15" t="s">
        <v>81</v>
      </c>
      <c r="B9" s="16">
        <v>0.9</v>
      </c>
      <c r="C9" s="70">
        <f t="shared" si="0"/>
        <v>2.2859999999999998E-2</v>
      </c>
      <c r="D9" s="16">
        <v>1</v>
      </c>
      <c r="E9" s="16" t="s">
        <v>79</v>
      </c>
      <c r="F9" s="70" t="s">
        <v>79</v>
      </c>
      <c r="G9" s="16" t="s">
        <v>77</v>
      </c>
      <c r="H9" s="71">
        <f t="shared" si="1"/>
        <v>3.8454086415660962E-2</v>
      </c>
      <c r="I9" s="71">
        <f t="shared" si="2"/>
        <v>366.27517310917062</v>
      </c>
      <c r="J9" s="70" t="s">
        <v>79</v>
      </c>
      <c r="K9" s="71" t="s">
        <v>79</v>
      </c>
      <c r="L9" s="72">
        <f>800/I10+(0.14*(1+4/B10^0.3))</f>
        <v>2.9021334987592731</v>
      </c>
      <c r="N9" s="46" t="s">
        <v>89</v>
      </c>
      <c r="O9" s="44">
        <f>O8*O4</f>
        <v>1.5782828282828284E-2</v>
      </c>
    </row>
    <row r="10" spans="1:15" ht="15.75" thickBot="1" x14ac:dyDescent="0.3">
      <c r="A10" s="15" t="s">
        <v>90</v>
      </c>
      <c r="B10" s="16">
        <v>0.9</v>
      </c>
      <c r="C10" s="70">
        <f t="shared" si="0"/>
        <v>2.2859999999999998E-2</v>
      </c>
      <c r="D10" s="16">
        <v>1</v>
      </c>
      <c r="E10" s="16" t="s">
        <v>79</v>
      </c>
      <c r="F10" s="70" t="s">
        <v>79</v>
      </c>
      <c r="G10" s="16" t="s">
        <v>77</v>
      </c>
      <c r="H10" s="71">
        <f t="shared" si="1"/>
        <v>3.8454086415660962E-2</v>
      </c>
      <c r="I10" s="71">
        <f t="shared" si="2"/>
        <v>366.27517310917062</v>
      </c>
      <c r="J10" s="70" t="s">
        <v>79</v>
      </c>
      <c r="K10" s="71" t="s">
        <v>79</v>
      </c>
      <c r="L10" s="72">
        <f>300/I11+(0.017*(1+3.5/B11^0.3))</f>
        <v>0.89746705592178466</v>
      </c>
    </row>
    <row r="11" spans="1:15" ht="15.75" thickBot="1" x14ac:dyDescent="0.3">
      <c r="A11" s="15" t="s">
        <v>91</v>
      </c>
      <c r="B11" s="16">
        <v>0.9</v>
      </c>
      <c r="C11" s="70">
        <f t="shared" si="0"/>
        <v>2.2859999999999998E-2</v>
      </c>
      <c r="D11" s="16">
        <v>1</v>
      </c>
      <c r="E11" s="16">
        <v>1</v>
      </c>
      <c r="F11" s="70">
        <f>E11*$O$23</f>
        <v>0.30480000000000002</v>
      </c>
      <c r="G11" s="16" t="s">
        <v>77</v>
      </c>
      <c r="H11" s="71">
        <f t="shared" si="1"/>
        <v>3.8454086415660962E-2</v>
      </c>
      <c r="I11" s="71">
        <f t="shared" si="2"/>
        <v>366.27517310917062</v>
      </c>
      <c r="J11" s="70">
        <f t="shared" si="5"/>
        <v>8.7489063867016631E-5</v>
      </c>
      <c r="K11" s="71">
        <f t="shared" si="3"/>
        <v>4.3683004403989728E-2</v>
      </c>
      <c r="L11" s="72">
        <f t="shared" si="4"/>
        <v>2.3297602348794522</v>
      </c>
      <c r="N11" s="74" t="s">
        <v>92</v>
      </c>
      <c r="O11" s="75"/>
    </row>
    <row r="12" spans="1:15" x14ac:dyDescent="0.25">
      <c r="A12" s="15" t="s">
        <v>87</v>
      </c>
      <c r="B12" s="16">
        <v>0.9</v>
      </c>
      <c r="C12" s="70">
        <f t="shared" si="0"/>
        <v>2.2859999999999998E-2</v>
      </c>
      <c r="D12" s="16">
        <v>1</v>
      </c>
      <c r="E12" s="16">
        <v>1</v>
      </c>
      <c r="F12" s="70">
        <f>E12*$O$23</f>
        <v>0.30480000000000002</v>
      </c>
      <c r="G12" s="16" t="s">
        <v>77</v>
      </c>
      <c r="H12" s="71">
        <f t="shared" si="1"/>
        <v>3.8454086415660962E-2</v>
      </c>
      <c r="I12" s="71">
        <f t="shared" si="2"/>
        <v>366.27517310917062</v>
      </c>
      <c r="J12" s="70">
        <f t="shared" si="5"/>
        <v>8.7489063867016631E-5</v>
      </c>
      <c r="K12" s="71">
        <f t="shared" si="3"/>
        <v>4.3683004403989728E-2</v>
      </c>
      <c r="L12" s="72">
        <f t="shared" si="4"/>
        <v>2.3297602348794522</v>
      </c>
      <c r="N12" s="13" t="s">
        <v>15</v>
      </c>
      <c r="O12" s="14">
        <v>8.3000000000000004E-2</v>
      </c>
    </row>
    <row r="13" spans="1:15" x14ac:dyDescent="0.25">
      <c r="A13" s="15" t="s">
        <v>81</v>
      </c>
      <c r="B13" s="16">
        <v>0.9</v>
      </c>
      <c r="C13" s="70">
        <f t="shared" si="0"/>
        <v>2.2859999999999998E-2</v>
      </c>
      <c r="D13" s="16">
        <v>1</v>
      </c>
      <c r="E13" s="16" t="s">
        <v>79</v>
      </c>
      <c r="F13" s="70" t="s">
        <v>79</v>
      </c>
      <c r="G13" s="16" t="s">
        <v>77</v>
      </c>
      <c r="H13" s="71">
        <f t="shared" si="1"/>
        <v>3.8454086415660962E-2</v>
      </c>
      <c r="I13" s="71">
        <f t="shared" si="2"/>
        <v>366.27517310917062</v>
      </c>
      <c r="J13" s="70" t="s">
        <v>79</v>
      </c>
      <c r="K13" s="71" t="s">
        <v>79</v>
      </c>
      <c r="L13" s="72">
        <f>800/I14+(0.14*(1+4/B14^0.3))</f>
        <v>2.9021334987592731</v>
      </c>
      <c r="N13" s="19" t="s">
        <v>17</v>
      </c>
      <c r="O13" s="20">
        <v>14.5</v>
      </c>
    </row>
    <row r="14" spans="1:15" x14ac:dyDescent="0.25">
      <c r="A14" s="15" t="s">
        <v>93</v>
      </c>
      <c r="B14" s="16">
        <v>0.9</v>
      </c>
      <c r="C14" s="70">
        <f t="shared" si="0"/>
        <v>2.2859999999999998E-2</v>
      </c>
      <c r="D14" s="16">
        <v>1</v>
      </c>
      <c r="E14" s="16">
        <v>1</v>
      </c>
      <c r="F14" s="70">
        <f>E14*$O$23</f>
        <v>0.30480000000000002</v>
      </c>
      <c r="G14" s="16" t="s">
        <v>77</v>
      </c>
      <c r="H14" s="71">
        <f t="shared" si="1"/>
        <v>3.8454086415660962E-2</v>
      </c>
      <c r="I14" s="71">
        <f t="shared" si="2"/>
        <v>366.27517310917062</v>
      </c>
      <c r="J14" s="70">
        <f t="shared" si="5"/>
        <v>8.7489063867016631E-5</v>
      </c>
      <c r="K14" s="71">
        <f t="shared" si="3"/>
        <v>4.3683004403989728E-2</v>
      </c>
      <c r="L14" s="72">
        <f t="shared" si="4"/>
        <v>2.3297602348794522</v>
      </c>
      <c r="N14" s="19" t="s">
        <v>36</v>
      </c>
      <c r="O14" s="20">
        <v>62</v>
      </c>
    </row>
    <row r="15" spans="1:15" x14ac:dyDescent="0.25">
      <c r="A15" s="15" t="s">
        <v>87</v>
      </c>
      <c r="B15" s="16">
        <v>0.9</v>
      </c>
      <c r="C15" s="70">
        <f t="shared" si="0"/>
        <v>2.2859999999999998E-2</v>
      </c>
      <c r="D15" s="16">
        <v>1</v>
      </c>
      <c r="E15" s="16">
        <v>1</v>
      </c>
      <c r="F15" s="70">
        <f>E15*$O$23</f>
        <v>0.30480000000000002</v>
      </c>
      <c r="G15" s="16" t="s">
        <v>77</v>
      </c>
      <c r="H15" s="71">
        <f t="shared" si="1"/>
        <v>3.8454086415660962E-2</v>
      </c>
      <c r="I15" s="71">
        <f t="shared" si="2"/>
        <v>366.27517310917062</v>
      </c>
      <c r="J15" s="70">
        <f t="shared" si="5"/>
        <v>8.7489063867016631E-5</v>
      </c>
      <c r="K15" s="71">
        <f t="shared" si="3"/>
        <v>4.3683004403989728E-2</v>
      </c>
      <c r="L15" s="72">
        <f t="shared" si="4"/>
        <v>2.3297602348794522</v>
      </c>
      <c r="N15" s="19" t="s">
        <v>94</v>
      </c>
      <c r="O15" s="20">
        <f>O14/O16*O18</f>
        <v>0.23484848484848486</v>
      </c>
    </row>
    <row r="16" spans="1:15" x14ac:dyDescent="0.25">
      <c r="A16" s="15" t="s">
        <v>81</v>
      </c>
      <c r="B16" s="16">
        <v>0.9</v>
      </c>
      <c r="C16" s="70">
        <f t="shared" si="0"/>
        <v>2.2859999999999998E-2</v>
      </c>
      <c r="D16" s="16">
        <v>1</v>
      </c>
      <c r="E16" s="16" t="s">
        <v>79</v>
      </c>
      <c r="F16" s="70" t="s">
        <v>79</v>
      </c>
      <c r="G16" s="16" t="s">
        <v>77</v>
      </c>
      <c r="H16" s="71">
        <f t="shared" si="1"/>
        <v>3.8454086415660962E-2</v>
      </c>
      <c r="I16" s="71">
        <f t="shared" si="2"/>
        <v>366.27517310917062</v>
      </c>
      <c r="J16" s="70" t="s">
        <v>79</v>
      </c>
      <c r="K16" s="71" t="s">
        <v>79</v>
      </c>
      <c r="L16" s="72">
        <f>800/I17+(0.14*(1+4/B17^0.3))</f>
        <v>2.9021334987592731</v>
      </c>
      <c r="N16" s="19" t="s">
        <v>19</v>
      </c>
      <c r="O16" s="20">
        <v>0.26400000000000001</v>
      </c>
    </row>
    <row r="17" spans="1:15" x14ac:dyDescent="0.25">
      <c r="A17" s="15" t="s">
        <v>87</v>
      </c>
      <c r="B17" s="16">
        <v>0.9</v>
      </c>
      <c r="C17" s="70">
        <f t="shared" si="0"/>
        <v>2.2859999999999998E-2</v>
      </c>
      <c r="D17" s="16">
        <v>1</v>
      </c>
      <c r="E17" s="16">
        <v>1</v>
      </c>
      <c r="F17" s="70">
        <f>E17*$O$23</f>
        <v>0.30480000000000002</v>
      </c>
      <c r="G17" s="16" t="s">
        <v>77</v>
      </c>
      <c r="H17" s="71">
        <f t="shared" si="1"/>
        <v>3.8454086415660962E-2</v>
      </c>
      <c r="I17" s="71">
        <f t="shared" si="2"/>
        <v>366.27517310917062</v>
      </c>
      <c r="J17" s="70">
        <f t="shared" si="5"/>
        <v>8.7489063867016631E-5</v>
      </c>
      <c r="K17" s="71">
        <f t="shared" si="3"/>
        <v>4.3683004403989728E-2</v>
      </c>
      <c r="L17" s="72">
        <f t="shared" si="4"/>
        <v>2.3297602348794522</v>
      </c>
      <c r="N17" s="19" t="s">
        <v>21</v>
      </c>
      <c r="O17" s="20">
        <f>O12*O13*O16</f>
        <v>0.31772400000000001</v>
      </c>
    </row>
    <row r="18" spans="1:15" x14ac:dyDescent="0.25">
      <c r="A18" s="15" t="s">
        <v>81</v>
      </c>
      <c r="B18" s="16">
        <v>0.9</v>
      </c>
      <c r="C18" s="70">
        <f t="shared" si="0"/>
        <v>2.2859999999999998E-2</v>
      </c>
      <c r="D18" s="16">
        <v>1</v>
      </c>
      <c r="E18" s="76" t="s">
        <v>79</v>
      </c>
      <c r="F18" s="70" t="s">
        <v>79</v>
      </c>
      <c r="G18" s="16" t="s">
        <v>77</v>
      </c>
      <c r="H18" s="71">
        <f>$O$8/(PI()*C18^2/4)</f>
        <v>3.8454086415660962E-2</v>
      </c>
      <c r="I18" s="71">
        <f>H18*C18/$O$6</f>
        <v>366.27517310917062</v>
      </c>
      <c r="J18" s="70" t="s">
        <v>79</v>
      </c>
      <c r="K18" s="71" t="s">
        <v>79</v>
      </c>
      <c r="L18" s="72">
        <f>800/I19+(0.14*(1+4/B19^0.3))</f>
        <v>2.9021334987592731</v>
      </c>
      <c r="N18" s="19" t="s">
        <v>95</v>
      </c>
      <c r="O18" s="73">
        <v>1E-3</v>
      </c>
    </row>
    <row r="19" spans="1:15" ht="15.75" thickBot="1" x14ac:dyDescent="0.3">
      <c r="A19" s="46" t="s">
        <v>96</v>
      </c>
      <c r="B19" s="77">
        <v>0.9</v>
      </c>
      <c r="C19" s="78">
        <f t="shared" si="0"/>
        <v>2.2859999999999998E-2</v>
      </c>
      <c r="D19" s="77">
        <v>1</v>
      </c>
      <c r="E19" s="79">
        <v>0.5</v>
      </c>
      <c r="F19" s="78">
        <f>E19*$O$23</f>
        <v>0.15240000000000001</v>
      </c>
      <c r="G19" s="77" t="s">
        <v>77</v>
      </c>
      <c r="H19" s="80">
        <f>$O$8/(PI()*C19^2/4)</f>
        <v>3.8454086415660962E-2</v>
      </c>
      <c r="I19" s="80">
        <f t="shared" si="2"/>
        <v>366.27517310917062</v>
      </c>
      <c r="J19" s="78">
        <f t="shared" si="5"/>
        <v>8.7489063867016631E-5</v>
      </c>
      <c r="K19" s="80">
        <f t="shared" si="3"/>
        <v>4.3683004403989728E-2</v>
      </c>
      <c r="L19" s="81">
        <f t="shared" si="4"/>
        <v>1.1648801174397261</v>
      </c>
      <c r="N19" s="19" t="s">
        <v>43</v>
      </c>
      <c r="O19" s="20">
        <v>44.01</v>
      </c>
    </row>
    <row r="20" spans="1:15" ht="15.75" thickBot="1" x14ac:dyDescent="0.3">
      <c r="E20" s="82"/>
      <c r="N20" s="19" t="s">
        <v>97</v>
      </c>
      <c r="O20" s="20">
        <v>60</v>
      </c>
    </row>
    <row r="21" spans="1:15" ht="15.75" thickBot="1" x14ac:dyDescent="0.3">
      <c r="A21" s="63" t="s">
        <v>98</v>
      </c>
      <c r="B21" s="64"/>
      <c r="C21" s="64"/>
      <c r="D21" s="64"/>
      <c r="E21" s="64"/>
      <c r="F21" s="64"/>
      <c r="G21" s="64"/>
      <c r="H21" s="64"/>
      <c r="I21" s="65"/>
      <c r="N21" s="19" t="s">
        <v>99</v>
      </c>
      <c r="O21" s="20">
        <v>9.8000000000000007</v>
      </c>
    </row>
    <row r="22" spans="1:15" ht="15.75" thickBot="1" x14ac:dyDescent="0.3">
      <c r="A22" s="37" t="s">
        <v>1</v>
      </c>
      <c r="B22" s="38" t="s">
        <v>100</v>
      </c>
      <c r="C22" s="38" t="s">
        <v>101</v>
      </c>
      <c r="D22" s="38" t="s">
        <v>102</v>
      </c>
      <c r="E22" s="38" t="s">
        <v>103</v>
      </c>
      <c r="F22" s="38" t="s">
        <v>104</v>
      </c>
      <c r="G22" s="38" t="s">
        <v>105</v>
      </c>
      <c r="H22" s="38" t="s">
        <v>106</v>
      </c>
      <c r="I22" s="39" t="s">
        <v>107</v>
      </c>
      <c r="N22" s="19" t="s">
        <v>108</v>
      </c>
      <c r="O22" s="20">
        <v>2.5399999999999999E-2</v>
      </c>
    </row>
    <row r="23" spans="1:15" x14ac:dyDescent="0.25">
      <c r="A23" s="8" t="s">
        <v>109</v>
      </c>
      <c r="B23" s="40">
        <v>30</v>
      </c>
      <c r="C23" s="66">
        <f>B23*$O$25</f>
        <v>206844</v>
      </c>
      <c r="D23" s="66">
        <f>C23/$O$4/$O$21</f>
        <v>21.106530612244896</v>
      </c>
      <c r="E23" s="40">
        <v>5</v>
      </c>
      <c r="F23" s="66">
        <f>E23*O23</f>
        <v>1.524</v>
      </c>
      <c r="G23" s="67" cm="1">
        <f t="array" ref="G23">SUM(L3:L19/(C3:C19)^4)</f>
        <v>127956920.25870867</v>
      </c>
      <c r="H23" s="67">
        <f>G23*8*O8^2/(O21*PI()^2)</f>
        <v>2.6363168620927536E-3</v>
      </c>
      <c r="I23" s="83">
        <f>H23+F23+D23</f>
        <v>22.633166929106988</v>
      </c>
      <c r="N23" s="19" t="s">
        <v>110</v>
      </c>
      <c r="O23" s="20">
        <v>0.30480000000000002</v>
      </c>
    </row>
    <row r="24" spans="1:15" x14ac:dyDescent="0.25">
      <c r="A24" s="15" t="s">
        <v>111</v>
      </c>
      <c r="B24" s="16">
        <v>35</v>
      </c>
      <c r="C24" s="70">
        <f t="shared" ref="C24:C27" si="6">B24*$O$25</f>
        <v>241318</v>
      </c>
      <c r="D24" s="70">
        <f>C24/$O$4/$O$21</f>
        <v>24.624285714285715</v>
      </c>
      <c r="E24" s="45"/>
      <c r="F24" s="45"/>
      <c r="G24" s="45"/>
      <c r="H24" s="45"/>
      <c r="I24" s="84">
        <f>H24+F24+D24</f>
        <v>24.624285714285715</v>
      </c>
      <c r="N24" s="85" t="s">
        <v>112</v>
      </c>
      <c r="O24" s="86">
        <f>O14/O16*O18*O4</f>
        <v>234.84848484848487</v>
      </c>
    </row>
    <row r="25" spans="1:15" ht="15.75" thickBot="1" x14ac:dyDescent="0.3">
      <c r="A25" s="15" t="s">
        <v>113</v>
      </c>
      <c r="B25" s="16">
        <v>35</v>
      </c>
      <c r="C25" s="70">
        <f t="shared" si="6"/>
        <v>241318</v>
      </c>
      <c r="D25" s="70">
        <f>C25/$O$4/$O$21</f>
        <v>24.624285714285715</v>
      </c>
      <c r="E25" s="45"/>
      <c r="F25" s="45"/>
      <c r="G25" s="45"/>
      <c r="H25" s="45"/>
      <c r="I25" s="84">
        <f t="shared" ref="I25:I27" si="7">H25+F25+D25</f>
        <v>24.624285714285715</v>
      </c>
      <c r="N25" s="43" t="s">
        <v>114</v>
      </c>
      <c r="O25" s="44">
        <v>6894.8</v>
      </c>
    </row>
    <row r="26" spans="1:15" ht="15.75" thickBot="1" x14ac:dyDescent="0.3">
      <c r="A26" s="15" t="s">
        <v>115</v>
      </c>
      <c r="B26" s="16">
        <v>20</v>
      </c>
      <c r="C26" s="70">
        <f t="shared" si="6"/>
        <v>137896</v>
      </c>
      <c r="D26" s="70">
        <f>C26/$O$4/$O$21</f>
        <v>14.071020408163262</v>
      </c>
      <c r="E26" s="45"/>
      <c r="F26" s="45"/>
      <c r="G26" s="45"/>
      <c r="H26" s="45"/>
      <c r="I26" s="84">
        <f t="shared" si="7"/>
        <v>14.071020408163262</v>
      </c>
    </row>
    <row r="27" spans="1:15" ht="15.75" thickBot="1" x14ac:dyDescent="0.3">
      <c r="A27" s="46" t="s">
        <v>116</v>
      </c>
      <c r="B27" s="77">
        <v>2</v>
      </c>
      <c r="C27" s="78">
        <f t="shared" si="6"/>
        <v>13789.6</v>
      </c>
      <c r="D27" s="78">
        <f>C27/$O$4/$O$21</f>
        <v>1.4071020408163264</v>
      </c>
      <c r="E27" s="47"/>
      <c r="F27" s="47"/>
      <c r="G27" s="47"/>
      <c r="H27" s="47"/>
      <c r="I27" s="87">
        <f t="shared" si="7"/>
        <v>1.4071020408163264</v>
      </c>
      <c r="N27" s="50" t="s">
        <v>46</v>
      </c>
    </row>
    <row r="28" spans="1:15" ht="15.75" thickBot="1" x14ac:dyDescent="0.3">
      <c r="N28" s="51" t="s">
        <v>47</v>
      </c>
    </row>
    <row r="29" spans="1:15" ht="15.75" thickBot="1" x14ac:dyDescent="0.3">
      <c r="A29" s="63" t="s">
        <v>117</v>
      </c>
      <c r="B29" s="64"/>
      <c r="C29" s="64"/>
      <c r="D29" s="64"/>
      <c r="E29" s="64"/>
      <c r="F29" s="64"/>
      <c r="G29" s="65"/>
      <c r="N29" s="55" t="s">
        <v>49</v>
      </c>
    </row>
    <row r="30" spans="1:15" ht="15.75" thickBot="1" x14ac:dyDescent="0.3">
      <c r="A30" s="88" t="s">
        <v>118</v>
      </c>
      <c r="B30" s="89" t="s">
        <v>119</v>
      </c>
      <c r="C30" s="89" t="s">
        <v>120</v>
      </c>
      <c r="D30" s="89" t="s">
        <v>121</v>
      </c>
      <c r="E30" s="89" t="s">
        <v>122</v>
      </c>
      <c r="F30" s="89" t="s">
        <v>123</v>
      </c>
      <c r="G30" s="90" t="s">
        <v>124</v>
      </c>
      <c r="N30" s="56" t="s">
        <v>57</v>
      </c>
    </row>
    <row r="31" spans="1:15" x14ac:dyDescent="0.25">
      <c r="A31" s="13" t="s">
        <v>32</v>
      </c>
      <c r="B31" s="11">
        <v>0.7</v>
      </c>
      <c r="C31" s="10">
        <f>SUM(I23:I27)*O21*O4*O8/B31</f>
        <v>19.302999546925697</v>
      </c>
      <c r="D31" s="11">
        <f>O9</f>
        <v>1.5782828282828284E-2</v>
      </c>
      <c r="E31" s="91">
        <f>C31/D31</f>
        <v>1223.0380512932122</v>
      </c>
      <c r="F31" s="92">
        <f>C31/1000/D31/3600</f>
        <v>3.3973279202589222E-4</v>
      </c>
      <c r="G31" s="93">
        <f>F31*O24</f>
        <v>7.9785731460626216E-2</v>
      </c>
    </row>
    <row r="32" spans="1:15" ht="15.75" thickBot="1" x14ac:dyDescent="0.3">
      <c r="A32" s="43" t="s">
        <v>125</v>
      </c>
      <c r="B32" s="79">
        <v>0.7</v>
      </c>
      <c r="C32" s="79">
        <f>240*10/B32</f>
        <v>3428.5714285714289</v>
      </c>
      <c r="D32" s="79">
        <f>O9</f>
        <v>1.5782828282828284E-2</v>
      </c>
      <c r="E32" s="94">
        <f>C32/D32</f>
        <v>217234.28571428571</v>
      </c>
      <c r="F32" s="80">
        <f>C32/1000/D32/3600</f>
        <v>6.0342857142857143E-2</v>
      </c>
      <c r="G32" s="87">
        <f>F32*O24</f>
        <v>14.171428571428573</v>
      </c>
    </row>
    <row r="34" spans="7:7" x14ac:dyDescent="0.25">
      <c r="G34" s="95"/>
    </row>
  </sheetData>
  <mergeCells count="5">
    <mergeCell ref="A1:L1"/>
    <mergeCell ref="N2:O2"/>
    <mergeCell ref="N11:O11"/>
    <mergeCell ref="A21:I21"/>
    <mergeCell ref="A29:G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README</vt:lpstr>
      <vt:lpstr>Baseline_CO2</vt:lpstr>
      <vt:lpstr>Baseline_Energy</vt:lpstr>
      <vt:lpstr>75%Chiller_Energy</vt:lpstr>
      <vt:lpstr>50%Chiller_Energy</vt:lpstr>
      <vt:lpstr>25%Chiller_Energy</vt:lpstr>
      <vt:lpstr>5Barrel_CO2</vt:lpstr>
      <vt:lpstr>5Barrel_Energy</vt:lpstr>
      <vt:lpstr>10Barrel_CO2</vt:lpstr>
      <vt:lpstr>10Barrel_Energy</vt:lpstr>
      <vt:lpstr>20Barrel_CO2</vt:lpstr>
      <vt:lpstr>20Barrel_Energy</vt:lpstr>
      <vt:lpstr>2GPM_Energy</vt:lpstr>
      <vt:lpstr>0.5GPM_Energy</vt:lpstr>
      <vt:lpstr>0.25GPM_Energy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Jean, Alexandra B</dc:creator>
  <cp:lastModifiedBy>Jean, Alexandra B</cp:lastModifiedBy>
  <dcterms:created xsi:type="dcterms:W3CDTF">2026-04-22T15:28:28Z</dcterms:created>
  <dcterms:modified xsi:type="dcterms:W3CDTF">2026-04-22T16:08:04Z</dcterms:modified>
</cp:coreProperties>
</file>