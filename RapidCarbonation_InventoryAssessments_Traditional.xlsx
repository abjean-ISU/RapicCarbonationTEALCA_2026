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pi.box.com/wopi/files/2206588713597/WOPIServiceId_TP_BOX_2/WOPIUserId_-/"/>
    </mc:Choice>
  </mc:AlternateContent>
  <xr:revisionPtr revIDLastSave="56" documentId="13_ncr:1_{1CD973B3-CE52-4D5F-8628-BEC99E5F1A7D}" xr6:coauthVersionLast="47" xr6:coauthVersionMax="47" xr10:uidLastSave="{BCC68076-8C10-4B7D-A114-3774B39EDB51}"/>
  <bookViews>
    <workbookView xWindow="-120" yWindow="-120" windowWidth="29040" windowHeight="15840" xr2:uid="{F981B01B-61DF-4334-9192-3FBB48E9B94C}"/>
  </bookViews>
  <sheets>
    <sheet name="README" sheetId="20" r:id="rId1"/>
    <sheet name="Baseline_CO2" sheetId="1" r:id="rId2"/>
    <sheet name="Baseline_Energy" sheetId="6" r:id="rId3"/>
    <sheet name="75%Chiller_Energy" sheetId="8" r:id="rId4"/>
    <sheet name="50%Chiller_Energy" sheetId="9" r:id="rId5"/>
    <sheet name="25%Chiller_Energy" sheetId="10" r:id="rId6"/>
    <sheet name="5Barrel_CO2" sheetId="11" r:id="rId7"/>
    <sheet name="5Barrel_Energy" sheetId="12" r:id="rId8"/>
    <sheet name="10Barrel_CO2" sheetId="13" r:id="rId9"/>
    <sheet name="10Barrel_Energy" sheetId="14" r:id="rId10"/>
    <sheet name="20Barrel_CO2" sheetId="15" r:id="rId11"/>
    <sheet name="20Barrel_Energy" sheetId="16" r:id="rId12"/>
    <sheet name="36h_Energy" sheetId="17" r:id="rId13"/>
    <sheet name="144h_Energy" sheetId="18" r:id="rId14"/>
    <sheet name="288h_Energy" sheetId="19" r:id="rId1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O24" i="19" l="1"/>
  <c r="O17" i="19"/>
  <c r="O15" i="19"/>
  <c r="F12" i="19"/>
  <c r="E12" i="19"/>
  <c r="C12" i="19"/>
  <c r="H12" i="19" s="1"/>
  <c r="I12" i="19" s="1"/>
  <c r="O9" i="19"/>
  <c r="F11" i="19" s="1"/>
  <c r="O8" i="19"/>
  <c r="H3" i="19" s="1"/>
  <c r="I3" i="19" s="1"/>
  <c r="K3" i="19" s="1"/>
  <c r="L3" i="19" s="1"/>
  <c r="G7" i="19" s="1"/>
  <c r="H7" i="19" s="1"/>
  <c r="I7" i="19" s="1"/>
  <c r="C11" i="19" s="1"/>
  <c r="F7" i="19"/>
  <c r="C7" i="19"/>
  <c r="D7" i="19" s="1"/>
  <c r="O6" i="19"/>
  <c r="O5" i="19"/>
  <c r="F3" i="19"/>
  <c r="C3" i="19"/>
  <c r="J3" i="19" s="1"/>
  <c r="O24" i="18"/>
  <c r="O17" i="18"/>
  <c r="O15" i="18"/>
  <c r="E12" i="18"/>
  <c r="F12" i="18" s="1"/>
  <c r="G12" i="18" s="1"/>
  <c r="C12" i="18"/>
  <c r="H12" i="18" s="1"/>
  <c r="I12" i="18" s="1"/>
  <c r="O8" i="18"/>
  <c r="H3" i="18" s="1"/>
  <c r="I3" i="18" s="1"/>
  <c r="K3" i="18" s="1"/>
  <c r="L3" i="18" s="1"/>
  <c r="G7" i="18" s="1"/>
  <c r="H7" i="18" s="1"/>
  <c r="I7" i="18" s="1"/>
  <c r="C11" i="18" s="1"/>
  <c r="F7" i="18"/>
  <c r="C7" i="18"/>
  <c r="D7" i="18" s="1"/>
  <c r="O5" i="18"/>
  <c r="O6" i="18" s="1"/>
  <c r="F3" i="18"/>
  <c r="C3" i="18"/>
  <c r="J3" i="18" s="1"/>
  <c r="O24" i="17"/>
  <c r="O17" i="17"/>
  <c r="O15" i="17"/>
  <c r="F12" i="17"/>
  <c r="E12" i="17"/>
  <c r="C12" i="17"/>
  <c r="H12" i="17" s="1"/>
  <c r="I12" i="17" s="1"/>
  <c r="O9" i="17"/>
  <c r="F11" i="17" s="1"/>
  <c r="O8" i="17"/>
  <c r="H3" i="17" s="1"/>
  <c r="I3" i="17" s="1"/>
  <c r="K3" i="17" s="1"/>
  <c r="L3" i="17" s="1"/>
  <c r="G7" i="17" s="1"/>
  <c r="H7" i="17" s="1"/>
  <c r="I7" i="17" s="1"/>
  <c r="C11" i="17" s="1"/>
  <c r="F7" i="17"/>
  <c r="C7" i="17"/>
  <c r="D7" i="17" s="1"/>
  <c r="O6" i="17"/>
  <c r="O5" i="17"/>
  <c r="F3" i="17"/>
  <c r="C3" i="17"/>
  <c r="J3" i="17" s="1"/>
  <c r="O17" i="16"/>
  <c r="O14" i="16"/>
  <c r="O24" i="16" s="1"/>
  <c r="F12" i="16"/>
  <c r="G12" i="16" s="1"/>
  <c r="E12" i="16"/>
  <c r="C12" i="16"/>
  <c r="H12" i="16" s="1"/>
  <c r="I12" i="16" s="1"/>
  <c r="O9" i="16"/>
  <c r="F11" i="16" s="1"/>
  <c r="O8" i="16"/>
  <c r="F7" i="16"/>
  <c r="C7" i="16"/>
  <c r="D7" i="16" s="1"/>
  <c r="O6" i="16"/>
  <c r="O5" i="16"/>
  <c r="F3" i="16"/>
  <c r="C3" i="16"/>
  <c r="J3" i="16" s="1"/>
  <c r="G32" i="15"/>
  <c r="B32" i="15"/>
  <c r="C32" i="15" s="1"/>
  <c r="G31" i="15"/>
  <c r="E31" i="15"/>
  <c r="E30" i="15"/>
  <c r="G29" i="15"/>
  <c r="C29" i="15"/>
  <c r="G28" i="15"/>
  <c r="D19" i="15"/>
  <c r="E19" i="15" s="1"/>
  <c r="C18" i="15"/>
  <c r="C17" i="15"/>
  <c r="O10" i="15"/>
  <c r="D8" i="15"/>
  <c r="F8" i="15" s="1"/>
  <c r="O6" i="15"/>
  <c r="G5" i="15" s="1"/>
  <c r="G4" i="15"/>
  <c r="F4" i="15"/>
  <c r="G3" i="15"/>
  <c r="F3" i="15"/>
  <c r="D3" i="15"/>
  <c r="H3" i="15" s="1"/>
  <c r="O17" i="14"/>
  <c r="O14" i="14"/>
  <c r="O24" i="14" s="1"/>
  <c r="F12" i="14"/>
  <c r="E12" i="14"/>
  <c r="C12" i="14"/>
  <c r="H12" i="14" s="1"/>
  <c r="I12" i="14" s="1"/>
  <c r="O9" i="14"/>
  <c r="F11" i="14" s="1"/>
  <c r="O8" i="14"/>
  <c r="H3" i="14" s="1"/>
  <c r="I3" i="14" s="1"/>
  <c r="K3" i="14" s="1"/>
  <c r="L3" i="14" s="1"/>
  <c r="G7" i="14" s="1"/>
  <c r="H7" i="14" s="1"/>
  <c r="I7" i="14" s="1"/>
  <c r="C11" i="14" s="1"/>
  <c r="F7" i="14"/>
  <c r="C7" i="14"/>
  <c r="D7" i="14" s="1"/>
  <c r="O6" i="14"/>
  <c r="O5" i="14"/>
  <c r="F3" i="14"/>
  <c r="C3" i="14"/>
  <c r="J3" i="14" s="1"/>
  <c r="G32" i="13"/>
  <c r="C32" i="13"/>
  <c r="B32" i="13"/>
  <c r="G31" i="13"/>
  <c r="E31" i="13"/>
  <c r="E30" i="13"/>
  <c r="G29" i="13"/>
  <c r="C29" i="13"/>
  <c r="G28" i="13"/>
  <c r="D19" i="13"/>
  <c r="E19" i="13" s="1"/>
  <c r="C18" i="13"/>
  <c r="C17" i="13"/>
  <c r="O10" i="13"/>
  <c r="D8" i="13"/>
  <c r="F8" i="13" s="1"/>
  <c r="O6" i="13"/>
  <c r="G5" i="13" s="1"/>
  <c r="F4" i="13"/>
  <c r="I3" i="13"/>
  <c r="G3" i="13"/>
  <c r="E3" i="13"/>
  <c r="D3" i="13"/>
  <c r="H3" i="13" s="1"/>
  <c r="O17" i="12"/>
  <c r="O15" i="12"/>
  <c r="O14" i="12"/>
  <c r="O24" i="12" s="1"/>
  <c r="F12" i="12"/>
  <c r="E12" i="12"/>
  <c r="C12" i="12"/>
  <c r="H12" i="12" s="1"/>
  <c r="I12" i="12" s="1"/>
  <c r="O9" i="12"/>
  <c r="F11" i="12" s="1"/>
  <c r="O8" i="12"/>
  <c r="H3" i="12" s="1"/>
  <c r="I3" i="12" s="1"/>
  <c r="K3" i="12" s="1"/>
  <c r="L3" i="12" s="1"/>
  <c r="G7" i="12" s="1"/>
  <c r="H7" i="12" s="1"/>
  <c r="I7" i="12" s="1"/>
  <c r="C11" i="12" s="1"/>
  <c r="F7" i="12"/>
  <c r="C7" i="12"/>
  <c r="D7" i="12" s="1"/>
  <c r="O6" i="12"/>
  <c r="O5" i="12"/>
  <c r="F3" i="12"/>
  <c r="C3" i="12"/>
  <c r="J3" i="12" s="1"/>
  <c r="G32" i="11"/>
  <c r="C32" i="11"/>
  <c r="B32" i="11"/>
  <c r="G31" i="11"/>
  <c r="E31" i="11"/>
  <c r="E30" i="11"/>
  <c r="G29" i="11"/>
  <c r="C29" i="11"/>
  <c r="G28" i="11"/>
  <c r="D19" i="11"/>
  <c r="E19" i="11" s="1"/>
  <c r="C18" i="11"/>
  <c r="C17" i="11"/>
  <c r="O10" i="11"/>
  <c r="D8" i="11"/>
  <c r="F8" i="11" s="1"/>
  <c r="O6" i="11"/>
  <c r="G5" i="11"/>
  <c r="F5" i="11"/>
  <c r="G4" i="11"/>
  <c r="J8" i="11" s="1"/>
  <c r="F4" i="11"/>
  <c r="G3" i="11"/>
  <c r="F3" i="11"/>
  <c r="D3" i="11"/>
  <c r="H3" i="11" s="1"/>
  <c r="O23" i="10"/>
  <c r="O16" i="10"/>
  <c r="F12" i="10"/>
  <c r="E12" i="10"/>
  <c r="C12" i="10"/>
  <c r="H12" i="10" s="1"/>
  <c r="I12" i="10" s="1"/>
  <c r="O9" i="10"/>
  <c r="F11" i="10" s="1"/>
  <c r="O8" i="10"/>
  <c r="F7" i="10"/>
  <c r="C7" i="10"/>
  <c r="D7" i="10" s="1"/>
  <c r="O6" i="10"/>
  <c r="O5" i="10"/>
  <c r="F3" i="10"/>
  <c r="C3" i="10"/>
  <c r="J3" i="10" s="1"/>
  <c r="O23" i="9"/>
  <c r="O16" i="9"/>
  <c r="E12" i="9"/>
  <c r="F12" i="9" s="1"/>
  <c r="G12" i="9" s="1"/>
  <c r="C12" i="9"/>
  <c r="H12" i="9" s="1"/>
  <c r="I12" i="9" s="1"/>
  <c r="O8" i="9"/>
  <c r="H3" i="9" s="1"/>
  <c r="F7" i="9"/>
  <c r="C7" i="9"/>
  <c r="D7" i="9" s="1"/>
  <c r="O5" i="9"/>
  <c r="O6" i="9" s="1"/>
  <c r="F3" i="9"/>
  <c r="C3" i="9"/>
  <c r="J3" i="9" s="1"/>
  <c r="O23" i="8"/>
  <c r="O16" i="8"/>
  <c r="E12" i="8"/>
  <c r="F12" i="8" s="1"/>
  <c r="G12" i="8" s="1"/>
  <c r="C12" i="8"/>
  <c r="H12" i="8" s="1"/>
  <c r="I12" i="8" s="1"/>
  <c r="O8" i="8"/>
  <c r="H3" i="8" s="1"/>
  <c r="I3" i="8" s="1"/>
  <c r="K3" i="8" s="1"/>
  <c r="L3" i="8" s="1"/>
  <c r="G7" i="8" s="1"/>
  <c r="H7" i="8" s="1"/>
  <c r="I7" i="8" s="1"/>
  <c r="C11" i="8" s="1"/>
  <c r="F7" i="8"/>
  <c r="C7" i="8"/>
  <c r="D7" i="8" s="1"/>
  <c r="O5" i="8"/>
  <c r="O6" i="8" s="1"/>
  <c r="F3" i="8"/>
  <c r="C3" i="8"/>
  <c r="J3" i="8" s="1"/>
  <c r="O24" i="6"/>
  <c r="O17" i="6"/>
  <c r="O15" i="6"/>
  <c r="E12" i="6"/>
  <c r="F12" i="6" s="1"/>
  <c r="C12" i="6"/>
  <c r="H12" i="6" s="1"/>
  <c r="I12" i="6" s="1"/>
  <c r="O8" i="6"/>
  <c r="H3" i="6" s="1"/>
  <c r="I3" i="6" s="1"/>
  <c r="K3" i="6" s="1"/>
  <c r="L3" i="6" s="1"/>
  <c r="G7" i="6" s="1"/>
  <c r="H7" i="6" s="1"/>
  <c r="I7" i="6" s="1"/>
  <c r="C11" i="6" s="1"/>
  <c r="F7" i="6"/>
  <c r="C7" i="6"/>
  <c r="D7" i="6" s="1"/>
  <c r="O5" i="6"/>
  <c r="O6" i="6" s="1"/>
  <c r="F3" i="6"/>
  <c r="C3" i="6"/>
  <c r="J3" i="6" s="1"/>
  <c r="G32" i="1"/>
  <c r="C32" i="1"/>
  <c r="B32" i="1"/>
  <c r="G31" i="1"/>
  <c r="E31" i="1"/>
  <c r="E30" i="1"/>
  <c r="G29" i="1"/>
  <c r="C29" i="1"/>
  <c r="G28" i="1"/>
  <c r="C18" i="1"/>
  <c r="C17" i="1"/>
  <c r="D19" i="1" s="1"/>
  <c r="E19" i="1" s="1"/>
  <c r="E12" i="1"/>
  <c r="D12" i="1"/>
  <c r="D13" i="1" s="1"/>
  <c r="D8" i="1"/>
  <c r="E8" i="1" s="1"/>
  <c r="I4" i="1" s="1"/>
  <c r="J4" i="1" s="1"/>
  <c r="J5" i="1" s="1"/>
  <c r="O6" i="1"/>
  <c r="H5" i="1"/>
  <c r="G5" i="1"/>
  <c r="F5" i="1"/>
  <c r="E5" i="1"/>
  <c r="H4" i="1"/>
  <c r="G4" i="1"/>
  <c r="F4" i="1"/>
  <c r="E4" i="1"/>
  <c r="H3" i="1"/>
  <c r="G3" i="1"/>
  <c r="F3" i="1"/>
  <c r="E3" i="1"/>
  <c r="I3" i="1" s="1"/>
  <c r="J3" i="1" s="1"/>
  <c r="H11" i="19" l="1"/>
  <c r="I11" i="19" s="1"/>
  <c r="G11" i="19"/>
  <c r="G12" i="19"/>
  <c r="O9" i="18"/>
  <c r="F11" i="18" s="1"/>
  <c r="H11" i="18" s="1"/>
  <c r="I11" i="18" s="1"/>
  <c r="H11" i="17"/>
  <c r="I11" i="17" s="1"/>
  <c r="G11" i="17"/>
  <c r="G12" i="17"/>
  <c r="H3" i="16"/>
  <c r="I3" i="16" s="1"/>
  <c r="K3" i="16" s="1"/>
  <c r="L3" i="16" s="1"/>
  <c r="G7" i="16" s="1"/>
  <c r="H7" i="16" s="1"/>
  <c r="I7" i="16" s="1"/>
  <c r="C11" i="16" s="1"/>
  <c r="O15" i="16"/>
  <c r="G8" i="15"/>
  <c r="H8" i="15" s="1"/>
  <c r="I8" i="15"/>
  <c r="D28" i="15" s="1"/>
  <c r="F30" i="15"/>
  <c r="B30" i="15"/>
  <c r="C30" i="15" s="1"/>
  <c r="D4" i="15"/>
  <c r="D5" i="15"/>
  <c r="J8" i="15"/>
  <c r="E3" i="15"/>
  <c r="I3" i="15" s="1"/>
  <c r="J3" i="15" s="1"/>
  <c r="F5" i="15"/>
  <c r="E8" i="15"/>
  <c r="H11" i="14"/>
  <c r="I11" i="14" s="1"/>
  <c r="G11" i="14"/>
  <c r="G12" i="14"/>
  <c r="O15" i="14"/>
  <c r="G8" i="13"/>
  <c r="H8" i="13" s="1"/>
  <c r="F30" i="13"/>
  <c r="B30" i="13"/>
  <c r="C30" i="13" s="1"/>
  <c r="D4" i="13"/>
  <c r="D5" i="13"/>
  <c r="J8" i="13"/>
  <c r="F3" i="13"/>
  <c r="J3" i="13" s="1"/>
  <c r="G4" i="13"/>
  <c r="I8" i="13" s="1"/>
  <c r="D28" i="13" s="1"/>
  <c r="F5" i="13"/>
  <c r="E8" i="13"/>
  <c r="H11" i="12"/>
  <c r="I11" i="12" s="1"/>
  <c r="G11" i="12"/>
  <c r="G12" i="12"/>
  <c r="I8" i="11"/>
  <c r="D28" i="11" s="1"/>
  <c r="G8" i="11"/>
  <c r="H8" i="11" s="1"/>
  <c r="F30" i="11"/>
  <c r="B30" i="11"/>
  <c r="C30" i="11" s="1"/>
  <c r="D4" i="11"/>
  <c r="D5" i="11"/>
  <c r="E3" i="11"/>
  <c r="I3" i="11" s="1"/>
  <c r="J3" i="11" s="1"/>
  <c r="E8" i="11"/>
  <c r="G12" i="10"/>
  <c r="H3" i="10"/>
  <c r="I3" i="10" s="1"/>
  <c r="K3" i="10" s="1"/>
  <c r="L3" i="10" s="1"/>
  <c r="G7" i="10" s="1"/>
  <c r="H7" i="10" s="1"/>
  <c r="I7" i="10" s="1"/>
  <c r="C11" i="10" s="1"/>
  <c r="I3" i="9"/>
  <c r="K3" i="9" s="1"/>
  <c r="L3" i="9" s="1"/>
  <c r="G7" i="9" s="1"/>
  <c r="H7" i="9" s="1"/>
  <c r="I7" i="9" s="1"/>
  <c r="C11" i="9" s="1"/>
  <c r="O9" i="9"/>
  <c r="F11" i="9" s="1"/>
  <c r="O9" i="8"/>
  <c r="F11" i="8" s="1"/>
  <c r="H11" i="8" s="1"/>
  <c r="I11" i="8" s="1"/>
  <c r="G12" i="6"/>
  <c r="O9" i="6"/>
  <c r="F11" i="6" s="1"/>
  <c r="H11" i="6" s="1"/>
  <c r="I11" i="6" s="1"/>
  <c r="K4" i="1"/>
  <c r="L4" i="1" s="1"/>
  <c r="I12" i="1"/>
  <c r="H12" i="1" s="1"/>
  <c r="F12" i="1" s="1"/>
  <c r="F13" i="1" s="1"/>
  <c r="I5" i="1"/>
  <c r="K5" i="1" s="1"/>
  <c r="L5" i="1" s="1"/>
  <c r="K12" i="1" s="1"/>
  <c r="E13" i="1"/>
  <c r="D23" i="1"/>
  <c r="F30" i="1"/>
  <c r="B30" i="1"/>
  <c r="C30" i="1" s="1"/>
  <c r="F8" i="1"/>
  <c r="I8" i="1" s="1"/>
  <c r="D28" i="1" s="1"/>
  <c r="G8" i="1"/>
  <c r="H8" i="1" s="1"/>
  <c r="J8" i="1"/>
  <c r="G11" i="18" l="1"/>
  <c r="H11" i="16"/>
  <c r="I11" i="16" s="1"/>
  <c r="G11" i="16"/>
  <c r="H5" i="15"/>
  <c r="D12" i="15"/>
  <c r="E5" i="15"/>
  <c r="I4" i="15"/>
  <c r="J4" i="15" s="1"/>
  <c r="J5" i="15" s="1"/>
  <c r="H4" i="15"/>
  <c r="E4" i="15"/>
  <c r="K4" i="15" s="1"/>
  <c r="L4" i="15" s="1"/>
  <c r="F33" i="15"/>
  <c r="G33" i="15" s="1"/>
  <c r="G30" i="15"/>
  <c r="E28" i="15"/>
  <c r="E28" i="13"/>
  <c r="H5" i="13"/>
  <c r="D12" i="13"/>
  <c r="E5" i="13"/>
  <c r="I4" i="13"/>
  <c r="J4" i="13" s="1"/>
  <c r="J5" i="13" s="1"/>
  <c r="H4" i="13"/>
  <c r="E4" i="13"/>
  <c r="K4" i="13" s="1"/>
  <c r="L4" i="13" s="1"/>
  <c r="F33" i="13"/>
  <c r="G33" i="13" s="1"/>
  <c r="G30" i="13"/>
  <c r="H5" i="11"/>
  <c r="D12" i="11"/>
  <c r="E5" i="11"/>
  <c r="I4" i="11"/>
  <c r="J4" i="11" s="1"/>
  <c r="J5" i="11" s="1"/>
  <c r="H4" i="11"/>
  <c r="E4" i="11"/>
  <c r="K4" i="11" s="1"/>
  <c r="L4" i="11" s="1"/>
  <c r="F33" i="11"/>
  <c r="G33" i="11" s="1"/>
  <c r="G30" i="11"/>
  <c r="E28" i="11"/>
  <c r="H11" i="10"/>
  <c r="I11" i="10" s="1"/>
  <c r="G11" i="10"/>
  <c r="H11" i="9"/>
  <c r="I11" i="9" s="1"/>
  <c r="G11" i="9"/>
  <c r="G11" i="8"/>
  <c r="G11" i="6"/>
  <c r="J12" i="1"/>
  <c r="G12" i="1" s="1"/>
  <c r="G13" i="1" s="1"/>
  <c r="F33" i="1"/>
  <c r="G33" i="1" s="1"/>
  <c r="G30" i="1"/>
  <c r="E23" i="1"/>
  <c r="D24" i="1"/>
  <c r="E24" i="1" s="1"/>
  <c r="B28" i="1"/>
  <c r="F23" i="1"/>
  <c r="H23" i="1" s="1"/>
  <c r="H13" i="1"/>
  <c r="I13" i="1" s="1"/>
  <c r="E28" i="1"/>
  <c r="I5" i="15" l="1"/>
  <c r="I12" i="15"/>
  <c r="H12" i="15" s="1"/>
  <c r="K5" i="15"/>
  <c r="L5" i="15" s="1"/>
  <c r="E12" i="15"/>
  <c r="D13" i="15"/>
  <c r="K5" i="13"/>
  <c r="L5" i="13" s="1"/>
  <c r="I12" i="13"/>
  <c r="H12" i="13" s="1"/>
  <c r="I5" i="13"/>
  <c r="E12" i="13"/>
  <c r="D13" i="13"/>
  <c r="I5" i="11"/>
  <c r="I12" i="11"/>
  <c r="H12" i="11" s="1"/>
  <c r="F12" i="11" s="1"/>
  <c r="F13" i="11" s="1"/>
  <c r="K5" i="11"/>
  <c r="L5" i="11" s="1"/>
  <c r="E12" i="11"/>
  <c r="D13" i="11"/>
  <c r="I23" i="1"/>
  <c r="H24" i="1"/>
  <c r="J24" i="1" s="1"/>
  <c r="C28" i="1"/>
  <c r="G23" i="1"/>
  <c r="J23" i="1" s="1"/>
  <c r="K23" i="1" s="1"/>
  <c r="J13" i="1"/>
  <c r="K13" i="1" s="1"/>
  <c r="L13" i="1" s="1"/>
  <c r="D29" i="1" s="1"/>
  <c r="E13" i="15" l="1"/>
  <c r="D23" i="15"/>
  <c r="K12" i="15"/>
  <c r="B28" i="15"/>
  <c r="F12" i="15"/>
  <c r="F13" i="15" s="1"/>
  <c r="E13" i="13"/>
  <c r="D23" i="13"/>
  <c r="F12" i="13"/>
  <c r="F13" i="13" s="1"/>
  <c r="K12" i="13"/>
  <c r="B28" i="13"/>
  <c r="E13" i="11"/>
  <c r="H13" i="11" s="1"/>
  <c r="I13" i="11" s="1"/>
  <c r="D23" i="11"/>
  <c r="K12" i="11"/>
  <c r="B28" i="11"/>
  <c r="F23" i="11"/>
  <c r="G24" i="1"/>
  <c r="K24" i="1"/>
  <c r="E29" i="1"/>
  <c r="I24" i="1"/>
  <c r="F24" i="1"/>
  <c r="H13" i="15" l="1"/>
  <c r="I13" i="15" s="1"/>
  <c r="F23" i="15"/>
  <c r="C28" i="15"/>
  <c r="J12" i="15"/>
  <c r="G12" i="15" s="1"/>
  <c r="G13" i="15" s="1"/>
  <c r="E23" i="15"/>
  <c r="D24" i="15"/>
  <c r="E24" i="15" s="1"/>
  <c r="C28" i="13"/>
  <c r="J12" i="13"/>
  <c r="G12" i="13" s="1"/>
  <c r="G13" i="13" s="1"/>
  <c r="F23" i="13"/>
  <c r="H23" i="13" s="1"/>
  <c r="H13" i="13"/>
  <c r="I13" i="13" s="1"/>
  <c r="E23" i="13"/>
  <c r="D24" i="13"/>
  <c r="E24" i="13" s="1"/>
  <c r="C28" i="11"/>
  <c r="J12" i="11"/>
  <c r="G12" i="11" s="1"/>
  <c r="G13" i="11" s="1"/>
  <c r="E23" i="11"/>
  <c r="H23" i="11" s="1"/>
  <c r="D24" i="11"/>
  <c r="E24" i="11" s="1"/>
  <c r="L24" i="1"/>
  <c r="D32" i="1" s="1"/>
  <c r="B31" i="1"/>
  <c r="G23" i="15" l="1"/>
  <c r="J23" i="15" s="1"/>
  <c r="K23" i="15" s="1"/>
  <c r="J13" i="15"/>
  <c r="K13" i="15" s="1"/>
  <c r="L13" i="15" s="1"/>
  <c r="D29" i="15" s="1"/>
  <c r="H23" i="15"/>
  <c r="G23" i="13"/>
  <c r="J23" i="13" s="1"/>
  <c r="K23" i="13" s="1"/>
  <c r="J13" i="13"/>
  <c r="K13" i="13" s="1"/>
  <c r="L13" i="13" s="1"/>
  <c r="D29" i="13" s="1"/>
  <c r="I23" i="13"/>
  <c r="H24" i="13"/>
  <c r="I23" i="11"/>
  <c r="H24" i="11"/>
  <c r="J24" i="11"/>
  <c r="G23" i="11"/>
  <c r="J23" i="11" s="1"/>
  <c r="K23" i="11" s="1"/>
  <c r="J13" i="11"/>
  <c r="K13" i="11" s="1"/>
  <c r="L13" i="11" s="1"/>
  <c r="D29" i="11" s="1"/>
  <c r="C31" i="1"/>
  <c r="B33" i="1"/>
  <c r="C33" i="1" s="1"/>
  <c r="E32" i="1"/>
  <c r="D33" i="1"/>
  <c r="E33" i="1" s="1"/>
  <c r="I23" i="15" l="1"/>
  <c r="H24" i="15"/>
  <c r="E29" i="15"/>
  <c r="I24" i="13"/>
  <c r="F24" i="13"/>
  <c r="E29" i="13"/>
  <c r="J24" i="13"/>
  <c r="E29" i="11"/>
  <c r="G24" i="11"/>
  <c r="K24" i="11"/>
  <c r="I24" i="11"/>
  <c r="F24" i="11"/>
  <c r="I24" i="15" l="1"/>
  <c r="F24" i="15"/>
  <c r="J24" i="15"/>
  <c r="G24" i="13"/>
  <c r="K24" i="13"/>
  <c r="L24" i="11"/>
  <c r="D32" i="11" s="1"/>
  <c r="B31" i="11"/>
  <c r="K24" i="15" l="1"/>
  <c r="G24" i="15"/>
  <c r="B31" i="13"/>
  <c r="L24" i="13"/>
  <c r="D32" i="13" s="1"/>
  <c r="C31" i="11"/>
  <c r="B33" i="11"/>
  <c r="C33" i="11" s="1"/>
  <c r="E32" i="11"/>
  <c r="D33" i="11"/>
  <c r="E33" i="11" s="1"/>
  <c r="B31" i="15" l="1"/>
  <c r="L24" i="15"/>
  <c r="D32" i="15" s="1"/>
  <c r="E32" i="13"/>
  <c r="D33" i="13"/>
  <c r="E33" i="13" s="1"/>
  <c r="C31" i="13"/>
  <c r="B33" i="13"/>
  <c r="C33" i="13" s="1"/>
  <c r="E32" i="15" l="1"/>
  <c r="D33" i="15"/>
  <c r="E33" i="15" s="1"/>
  <c r="C31" i="15"/>
  <c r="B33" i="15"/>
  <c r="C33" i="15" s="1"/>
</calcChain>
</file>

<file path=xl/sharedStrings.xml><?xml version="1.0" encoding="utf-8"?>
<sst xmlns="http://schemas.openxmlformats.org/spreadsheetml/2006/main" count="1088" uniqueCount="164">
  <si>
    <t>Legend</t>
  </si>
  <si>
    <t>Input</t>
  </si>
  <si>
    <t xml:space="preserve">Intermediate Calculations </t>
  </si>
  <si>
    <t xml:space="preserve">Results </t>
  </si>
  <si>
    <t>Constants and Conversions</t>
  </si>
  <si>
    <t>R (bar-L/mol-K)</t>
  </si>
  <si>
    <t>bar to psi</t>
  </si>
  <si>
    <t>L to gal</t>
  </si>
  <si>
    <t>R (psi-gal/mol-K)</t>
  </si>
  <si>
    <t>vol to g/L</t>
  </si>
  <si>
    <t>kg to g</t>
  </si>
  <si>
    <t>Beer density (kg/L)</t>
  </si>
  <si>
    <t>Total volume beer (gal)</t>
  </si>
  <si>
    <t>molar mass air</t>
  </si>
  <si>
    <t>molar mass CO2</t>
  </si>
  <si>
    <t>Bright Tank Step 1 - Purge with CO2</t>
  </si>
  <si>
    <t>Step</t>
  </si>
  <si>
    <t>Pressure (psia)</t>
  </si>
  <si>
    <t>Temperature (K)</t>
  </si>
  <si>
    <t>Volume (gal)</t>
  </si>
  <si>
    <t>Volume (m3)</t>
  </si>
  <si>
    <t>air density g/m3</t>
  </si>
  <si>
    <t>CO2 density (g/m3)</t>
  </si>
  <si>
    <t xml:space="preserve">total mol gas </t>
  </si>
  <si>
    <t>m3 air</t>
  </si>
  <si>
    <t>g air</t>
  </si>
  <si>
    <t>m3 CO2</t>
  </si>
  <si>
    <t>g co2</t>
  </si>
  <si>
    <t>Start Conditions</t>
  </si>
  <si>
    <t>Close Conditions</t>
  </si>
  <si>
    <t>Final Pressuiziation</t>
  </si>
  <si>
    <t>PUMPING</t>
  </si>
  <si>
    <t>Gas Flowrate (GPM)</t>
  </si>
  <si>
    <t>Total Time (min)</t>
  </si>
  <si>
    <t>Total Volume CO2 (gal)</t>
  </si>
  <si>
    <t>Volume air displaced (gal)</t>
  </si>
  <si>
    <t>Excess Volume CO2 (gal)</t>
  </si>
  <si>
    <t>Final Volume CO2 (gal)</t>
  </si>
  <si>
    <t>Final mass CO2 (g)</t>
  </si>
  <si>
    <t>CO2 Released (g)</t>
  </si>
  <si>
    <t>CO2 added (g)</t>
  </si>
  <si>
    <t>Pumping</t>
  </si>
  <si>
    <t>Bright Tank Step 2 - Transfer 2bbl beer (62 gal)</t>
  </si>
  <si>
    <t xml:space="preserve">total moles gas </t>
  </si>
  <si>
    <t>air composition (mol%)</t>
  </si>
  <si>
    <t>CO2 Composition (mol%)</t>
  </si>
  <si>
    <t>mol air</t>
  </si>
  <si>
    <t xml:space="preserve">mol CO2 </t>
  </si>
  <si>
    <t>g CO2</t>
  </si>
  <si>
    <t xml:space="preserve">g CO2 released </t>
  </si>
  <si>
    <t>Start</t>
  </si>
  <si>
    <t>Final (headspace)</t>
  </si>
  <si>
    <t xml:space="preserve">Bright Tank Step 3 - Carbonate </t>
  </si>
  <si>
    <t>Concentration CO2 (vol)</t>
  </si>
  <si>
    <t>Concentration CO2 (g/L)</t>
  </si>
  <si>
    <t>g/L Addition</t>
  </si>
  <si>
    <t>Total Addition CO2 (g)</t>
  </si>
  <si>
    <t xml:space="preserve">Starting Beer </t>
  </si>
  <si>
    <t>Final Beer</t>
  </si>
  <si>
    <t>Required Addition</t>
  </si>
  <si>
    <t>Bright Tank Step 4 - Kegging (pressure-driven)</t>
  </si>
  <si>
    <t>g CO2 released</t>
  </si>
  <si>
    <t>Starting Headspace</t>
  </si>
  <si>
    <t xml:space="preserve">Final Headspace </t>
  </si>
  <si>
    <t xml:space="preserve">CO2 Inventory Assessment </t>
  </si>
  <si>
    <t>Process</t>
  </si>
  <si>
    <t>Input per Batch (g)</t>
  </si>
  <si>
    <t>Input Per Batch (kg)</t>
  </si>
  <si>
    <t>Loss per batch (g)</t>
  </si>
  <si>
    <t>Loss Per Batch (kg)</t>
  </si>
  <si>
    <t>Absorbed to Beer (g)</t>
  </si>
  <si>
    <t>Absorbed to Beer (kg)</t>
  </si>
  <si>
    <t>Step 1 - Purge</t>
  </si>
  <si>
    <t xml:space="preserve">Step 2 - Transfer </t>
  </si>
  <si>
    <t>Step 3 - Carbonate</t>
  </si>
  <si>
    <t>Step 4 - Kegging</t>
  </si>
  <si>
    <t>Final Depressurization</t>
  </si>
  <si>
    <t xml:space="preserve">Totals </t>
  </si>
  <si>
    <t xml:space="preserve">Flow Characteristics </t>
  </si>
  <si>
    <t>Density (kg/m3)</t>
  </si>
  <si>
    <t>dynamic Viscocity (Pa-s)</t>
  </si>
  <si>
    <t>kinematic viscocity (m2/s)</t>
  </si>
  <si>
    <t>florate (gpm)</t>
  </si>
  <si>
    <t>flowrate (m3/s)</t>
  </si>
  <si>
    <t>mass flowrate (kg/s)</t>
  </si>
  <si>
    <t xml:space="preserve">Constants </t>
  </si>
  <si>
    <t>Total volume beer (m3)</t>
  </si>
  <si>
    <t>L to m3</t>
  </si>
  <si>
    <t>min to s</t>
  </si>
  <si>
    <t>g (m/s2)</t>
  </si>
  <si>
    <t>in to m</t>
  </si>
  <si>
    <t xml:space="preserve">ft to m </t>
  </si>
  <si>
    <t>Total mass beer (kg)</t>
  </si>
  <si>
    <t>Psi to Pa</t>
  </si>
  <si>
    <t xml:space="preserve">Friction Losses </t>
  </si>
  <si>
    <t>Part</t>
  </si>
  <si>
    <t>Inner Diameter (in)</t>
  </si>
  <si>
    <t>Inner Diameter (m)</t>
  </si>
  <si>
    <t>Outer Diameter (in)</t>
  </si>
  <si>
    <t>Length (ft)</t>
  </si>
  <si>
    <t>Length (m)</t>
  </si>
  <si>
    <t>material</t>
  </si>
  <si>
    <t>Cross Sectional Velocity (m/s)</t>
  </si>
  <si>
    <t xml:space="preserve">Reynold's Number </t>
  </si>
  <si>
    <r>
      <t>Relative Roughtness (</t>
    </r>
    <r>
      <rPr>
        <sz val="11"/>
        <color theme="1"/>
        <rFont val="Aptos Narrow"/>
        <family val="2"/>
      </rPr>
      <t>ε/D)</t>
    </r>
  </si>
  <si>
    <t xml:space="preserve">Friction Factor </t>
  </si>
  <si>
    <t xml:space="preserve">Loss Coefficient </t>
  </si>
  <si>
    <t xml:space="preserve">Tubing from pump to bright tank </t>
  </si>
  <si>
    <t>silicone</t>
  </si>
  <si>
    <t>Pumping Head Pressure Requirements</t>
  </si>
  <si>
    <t>Change in Pressure (psi)</t>
  </si>
  <si>
    <t>Change in pressure (Pa)</t>
  </si>
  <si>
    <t>Pressure Losses (m)</t>
  </si>
  <si>
    <t>change in height (ft)</t>
  </si>
  <si>
    <t>change in height (m)</t>
  </si>
  <si>
    <t>fraction factors (1/m4)</t>
  </si>
  <si>
    <t>friction losses (m)</t>
  </si>
  <si>
    <t>Head Pressure (m)</t>
  </si>
  <si>
    <t>Pump to Bright Tank</t>
  </si>
  <si>
    <t xml:space="preserve">HP Requirements </t>
  </si>
  <si>
    <t>Operation</t>
  </si>
  <si>
    <t>Efficiency</t>
  </si>
  <si>
    <t>HP (W)</t>
  </si>
  <si>
    <t>Timespan (h)</t>
  </si>
  <si>
    <t>Timespan (s)</t>
  </si>
  <si>
    <t>Operational Rate (kg beer/s)</t>
  </si>
  <si>
    <t>Energy requriements (J/kg beer)</t>
  </si>
  <si>
    <t>Energy Intensity (kWh/kg)</t>
  </si>
  <si>
    <t>Energy Requirements (kWh/batch)</t>
  </si>
  <si>
    <t>-</t>
  </si>
  <si>
    <t xml:space="preserve">Chiller </t>
  </si>
  <si>
    <t xml:space="preserve">This file contains the inventory assessments for the work contained in "Techno-economic analysis and life cycle assessment for the rapid carbonation of beer" </t>
  </si>
  <si>
    <t xml:space="preserve">Each tab contains the relavelnt calculations and results for the system of interest. The results were used to build the projects in OpenLCA 2.4.0 and conduct the techno-economic assessment </t>
  </si>
  <si>
    <t xml:space="preserve">Cells in the tabs are color coded acoording to: </t>
  </si>
  <si>
    <t>Tab Name</t>
  </si>
  <si>
    <t>Description</t>
  </si>
  <si>
    <t>Baseline_CO2</t>
  </si>
  <si>
    <t>Baseline_Energy</t>
  </si>
  <si>
    <t>75%Chiller_Energy</t>
  </si>
  <si>
    <t>50%Chiller_Energy</t>
  </si>
  <si>
    <t>25%Chiller_Energy</t>
  </si>
  <si>
    <t>5Barrel_CO2</t>
  </si>
  <si>
    <t>5Barrel_Energy</t>
  </si>
  <si>
    <t>10Barrel_CO2</t>
  </si>
  <si>
    <t>10Barrel_Energy</t>
  </si>
  <si>
    <t>20Barrel_CO2</t>
  </si>
  <si>
    <t>20Barrel_Energy</t>
  </si>
  <si>
    <t>36h_Energy</t>
  </si>
  <si>
    <t>144h_Energy</t>
  </si>
  <si>
    <t>288h_Energy</t>
  </si>
  <si>
    <t xml:space="preserve">carbon dioxide assessment for baseline system: 62 gallon beer carbonated over 72h in a bubbled bright tank </t>
  </si>
  <si>
    <t xml:space="preserve">energy assessment for baseline system: 62 gallon beer carbonated over 72h in a bubbled bright tank </t>
  </si>
  <si>
    <t>energy assessment for system utilizing an average of 75% max power demand on the chiller over 72h in a bubbled bright tank. Carbon dioxide assessment for this scenario is identical to baseline</t>
  </si>
  <si>
    <t>energy assessment for system utilizing an average of 50% max power demand on the chiller over 72h in a bubbled bright tank. Carbon dioxide assessment for this scenario is identical to baseline</t>
  </si>
  <si>
    <t>energy assessment for system utilizing an average of 25% max power demand on the chiller over 72h in a bubbled bright tank. Carbon dioxide assessment for this scenario is identical to baseline</t>
  </si>
  <si>
    <t>energy assessment for system with a residence time of 36h in the bright tank. Carbon dioxide assessment for this scenario is identical to baseline</t>
  </si>
  <si>
    <t>energy assessment for system with a residence time of 144h in the bright tank. Carbon dioxide assessment for this scenario is identical to baseline</t>
  </si>
  <si>
    <t>energy assessment for system with a residence time of 288h in the bright tank. Carbon dioxide assessment for this scenario is identical to baseline</t>
  </si>
  <si>
    <t xml:space="preserve">carbon dioxide assessment for 5 barrel system: 155 gallon beer carbonated over 72h in a bubbled bright tank </t>
  </si>
  <si>
    <t xml:space="preserve">energy assessment for 5 barrel system: 155 gallon beer carbonated over 72h in a bubbled bright tank </t>
  </si>
  <si>
    <t xml:space="preserve">carbon dioxide assessment for 10 barrel system: 310 gallon beer carbonated over 72h in a bubbled bright tank </t>
  </si>
  <si>
    <t xml:space="preserve">energy assessment for 10 barrel system: 310 gallon beer carbonated over 72h in a bubbled bright tank </t>
  </si>
  <si>
    <t xml:space="preserve">carbon dioxide assessment for 20 barrel system: 620 gallon beer carbonated over 72h in a bubbled bright tank </t>
  </si>
  <si>
    <t xml:space="preserve">energy assessment for 20 barrel system: 620 gallon beer carbonated over 72h in a bubbled bright tank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</si>
</sst>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</fills>
  <borders count="3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95">
    <xf numFmtId="0" fontId="0" fillId="0" borderId="0" xfId="0"/>
    <xf numFmtId="0" fontId="0" fillId="0" borderId="1" xfId="0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0" fillId="4" borderId="4" xfId="0" applyFill="1" applyBorder="1" applyAlignment="1">
      <alignment horizontal="center"/>
    </xf>
    <xf numFmtId="2" fontId="0" fillId="0" borderId="7" xfId="0" applyNumberFormat="1" applyBorder="1"/>
    <xf numFmtId="2" fontId="0" fillId="0" borderId="8" xfId="0" applyNumberFormat="1" applyBorder="1"/>
    <xf numFmtId="2" fontId="0" fillId="0" borderId="9" xfId="0" applyNumberFormat="1" applyBorder="1"/>
    <xf numFmtId="2" fontId="0" fillId="0" borderId="10" xfId="0" applyNumberFormat="1" applyBorder="1"/>
    <xf numFmtId="2" fontId="0" fillId="0" borderId="11" xfId="0" applyNumberFormat="1" applyBorder="1"/>
    <xf numFmtId="2" fontId="0" fillId="0" borderId="12" xfId="0" applyNumberFormat="1" applyBorder="1"/>
    <xf numFmtId="0" fontId="0" fillId="0" borderId="14" xfId="0" applyBorder="1"/>
    <xf numFmtId="0" fontId="0" fillId="0" borderId="5" xfId="0" applyBorder="1"/>
    <xf numFmtId="0" fontId="0" fillId="0" borderId="13" xfId="0" applyBorder="1"/>
    <xf numFmtId="0" fontId="0" fillId="0" borderId="6" xfId="0" applyBorder="1"/>
    <xf numFmtId="0" fontId="0" fillId="0" borderId="15" xfId="0" applyBorder="1"/>
    <xf numFmtId="0" fontId="0" fillId="2" borderId="16" xfId="0" applyFill="1" applyBorder="1"/>
    <xf numFmtId="2" fontId="0" fillId="3" borderId="16" xfId="0" applyNumberFormat="1" applyFill="1" applyBorder="1"/>
    <xf numFmtId="2" fontId="0" fillId="2" borderId="16" xfId="0" applyNumberFormat="1" applyFill="1" applyBorder="1"/>
    <xf numFmtId="2" fontId="0" fillId="2" borderId="8" xfId="0" applyNumberFormat="1" applyFill="1" applyBorder="1"/>
    <xf numFmtId="0" fontId="0" fillId="0" borderId="9" xfId="0" applyBorder="1"/>
    <xf numFmtId="0" fontId="0" fillId="2" borderId="17" xfId="0" applyFill="1" applyBorder="1"/>
    <xf numFmtId="2" fontId="0" fillId="3" borderId="17" xfId="0" applyNumberFormat="1" applyFill="1" applyBorder="1"/>
    <xf numFmtId="2" fontId="0" fillId="2" borderId="10" xfId="0" applyNumberFormat="1" applyFill="1" applyBorder="1"/>
    <xf numFmtId="0" fontId="0" fillId="0" borderId="18" xfId="0" applyBorder="1"/>
    <xf numFmtId="0" fontId="0" fillId="2" borderId="19" xfId="0" applyFill="1" applyBorder="1"/>
    <xf numFmtId="2" fontId="0" fillId="3" borderId="19" xfId="0" applyNumberFormat="1" applyFill="1" applyBorder="1"/>
    <xf numFmtId="2" fontId="0" fillId="3" borderId="20" xfId="0" applyNumberFormat="1" applyFill="1" applyBorder="1"/>
    <xf numFmtId="2" fontId="0" fillId="4" borderId="21" xfId="0" applyNumberFormat="1" applyFill="1" applyBorder="1"/>
    <xf numFmtId="0" fontId="0" fillId="0" borderId="22" xfId="0" applyBorder="1"/>
    <xf numFmtId="0" fontId="0" fillId="0" borderId="25" xfId="0" applyBorder="1"/>
    <xf numFmtId="0" fontId="0" fillId="2" borderId="26" xfId="0" applyFill="1" applyBorder="1"/>
    <xf numFmtId="0" fontId="0" fillId="3" borderId="26" xfId="0" applyFill="1" applyBorder="1"/>
    <xf numFmtId="2" fontId="0" fillId="3" borderId="26" xfId="0" applyNumberFormat="1" applyFill="1" applyBorder="1"/>
    <xf numFmtId="2" fontId="0" fillId="4" borderId="26" xfId="0" applyNumberFormat="1" applyFill="1" applyBorder="1"/>
    <xf numFmtId="2" fontId="0" fillId="0" borderId="26" xfId="0" applyNumberFormat="1" applyBorder="1"/>
    <xf numFmtId="2" fontId="0" fillId="0" borderId="27" xfId="0" applyNumberFormat="1" applyBorder="1"/>
    <xf numFmtId="0" fontId="0" fillId="0" borderId="28" xfId="0" applyBorder="1"/>
    <xf numFmtId="0" fontId="0" fillId="0" borderId="29" xfId="0" applyBorder="1"/>
    <xf numFmtId="0" fontId="0" fillId="0" borderId="30" xfId="0" applyBorder="1"/>
    <xf numFmtId="0" fontId="0" fillId="2" borderId="31" xfId="0" applyFill="1" applyBorder="1"/>
    <xf numFmtId="2" fontId="0" fillId="3" borderId="31" xfId="0" applyNumberFormat="1" applyFill="1" applyBorder="1"/>
    <xf numFmtId="2" fontId="0" fillId="2" borderId="31" xfId="0" applyNumberFormat="1" applyFill="1" applyBorder="1"/>
    <xf numFmtId="2" fontId="0" fillId="2" borderId="32" xfId="0" applyNumberFormat="1" applyFill="1" applyBorder="1"/>
    <xf numFmtId="0" fontId="0" fillId="0" borderId="11" xfId="0" applyBorder="1"/>
    <xf numFmtId="0" fontId="0" fillId="2" borderId="33" xfId="0" applyFill="1" applyBorder="1"/>
    <xf numFmtId="2" fontId="0" fillId="2" borderId="33" xfId="0" applyNumberFormat="1" applyFill="1" applyBorder="1"/>
    <xf numFmtId="2" fontId="0" fillId="3" borderId="33" xfId="0" applyNumberFormat="1" applyFill="1" applyBorder="1"/>
    <xf numFmtId="2" fontId="0" fillId="4" borderId="12" xfId="0" applyNumberFormat="1" applyFill="1" applyBorder="1"/>
    <xf numFmtId="0" fontId="0" fillId="0" borderId="31" xfId="0" applyBorder="1"/>
    <xf numFmtId="2" fontId="0" fillId="0" borderId="32" xfId="0" applyNumberFormat="1" applyBorder="1"/>
    <xf numFmtId="0" fontId="0" fillId="0" borderId="17" xfId="0" applyBorder="1"/>
    <xf numFmtId="0" fontId="0" fillId="0" borderId="33" xfId="0" applyBorder="1"/>
    <xf numFmtId="0" fontId="0" fillId="4" borderId="33" xfId="0" applyFill="1" applyBorder="1"/>
    <xf numFmtId="2" fontId="0" fillId="3" borderId="32" xfId="0" applyNumberFormat="1" applyFill="1" applyBorder="1"/>
    <xf numFmtId="2" fontId="0" fillId="3" borderId="10" xfId="0" applyNumberFormat="1" applyFill="1" applyBorder="1"/>
    <xf numFmtId="2" fontId="0" fillId="3" borderId="12" xfId="0" applyNumberFormat="1" applyFill="1" applyBorder="1"/>
    <xf numFmtId="2" fontId="0" fillId="4" borderId="13" xfId="0" applyNumberFormat="1" applyFill="1" applyBorder="1"/>
    <xf numFmtId="2" fontId="0" fillId="4" borderId="6" xfId="0" applyNumberFormat="1" applyFill="1" applyBorder="1"/>
    <xf numFmtId="0" fontId="0" fillId="0" borderId="7" xfId="0" applyBorder="1"/>
    <xf numFmtId="11" fontId="0" fillId="0" borderId="10" xfId="0" applyNumberFormat="1" applyBorder="1"/>
    <xf numFmtId="2" fontId="0" fillId="0" borderId="18" xfId="0" applyNumberFormat="1" applyBorder="1"/>
    <xf numFmtId="2" fontId="0" fillId="0" borderId="21" xfId="0" applyNumberFormat="1" applyBorder="1"/>
    <xf numFmtId="2" fontId="0" fillId="2" borderId="13" xfId="0" applyNumberFormat="1" applyFill="1" applyBorder="1"/>
    <xf numFmtId="2" fontId="0" fillId="3" borderId="13" xfId="0" applyNumberFormat="1" applyFill="1" applyBorder="1"/>
    <xf numFmtId="11" fontId="0" fillId="3" borderId="13" xfId="0" applyNumberFormat="1" applyFill="1" applyBorder="1"/>
    <xf numFmtId="2" fontId="0" fillId="3" borderId="6" xfId="0" applyNumberFormat="1" applyFill="1" applyBorder="1"/>
    <xf numFmtId="11" fontId="0" fillId="3" borderId="26" xfId="0" applyNumberFormat="1" applyFill="1" applyBorder="1"/>
    <xf numFmtId="11" fontId="0" fillId="4" borderId="27" xfId="0" applyNumberFormat="1" applyFill="1" applyBorder="1"/>
    <xf numFmtId="2" fontId="0" fillId="0" borderId="14" xfId="0" applyNumberFormat="1" applyBorder="1"/>
    <xf numFmtId="2" fontId="0" fillId="0" borderId="34" xfId="0" applyNumberFormat="1" applyBorder="1"/>
    <xf numFmtId="2" fontId="0" fillId="0" borderId="35" xfId="0" applyNumberFormat="1" applyBorder="1"/>
    <xf numFmtId="2" fontId="0" fillId="0" borderId="15" xfId="0" applyNumberFormat="1" applyBorder="1"/>
    <xf numFmtId="2" fontId="0" fillId="0" borderId="31" xfId="0" applyNumberFormat="1" applyBorder="1"/>
    <xf numFmtId="2" fontId="0" fillId="4" borderId="31" xfId="0" applyNumberFormat="1" applyFill="1" applyBorder="1"/>
    <xf numFmtId="11" fontId="0" fillId="3" borderId="31" xfId="0" applyNumberFormat="1" applyFill="1" applyBorder="1"/>
    <xf numFmtId="11" fontId="0" fillId="4" borderId="32" xfId="0" applyNumberFormat="1" applyFill="1" applyBorder="1"/>
    <xf numFmtId="11" fontId="0" fillId="3" borderId="33" xfId="0" applyNumberFormat="1" applyFill="1" applyBorder="1"/>
    <xf numFmtId="2" fontId="0" fillId="4" borderId="33" xfId="0" applyNumberFormat="1" applyFill="1" applyBorder="1"/>
    <xf numFmtId="11" fontId="0" fillId="4" borderId="12" xfId="0" applyNumberFormat="1" applyFill="1" applyBorder="1"/>
    <xf numFmtId="11" fontId="0" fillId="0" borderId="0" xfId="0" applyNumberFormat="1"/>
    <xf numFmtId="0" fontId="0" fillId="0" borderId="14" xfId="0" applyBorder="1" applyAlignment="1">
      <alignment horizontal="center"/>
    </xf>
    <xf numFmtId="0" fontId="0" fillId="0" borderId="34" xfId="0" applyBorder="1" applyAlignment="1">
      <alignment horizontal="center"/>
    </xf>
    <xf numFmtId="0" fontId="0" fillId="0" borderId="35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2" fontId="0" fillId="0" borderId="5" xfId="0" applyNumberFormat="1" applyBorder="1" applyAlignment="1">
      <alignment horizontal="center"/>
    </xf>
    <xf numFmtId="2" fontId="0" fillId="0" borderId="6" xfId="0" applyNumberFormat="1" applyBorder="1" applyAlignment="1">
      <alignment horizontal="center"/>
    </xf>
    <xf numFmtId="0" fontId="1" fillId="0" borderId="22" xfId="0" applyFont="1" applyBorder="1" applyAlignment="1">
      <alignment horizontal="center"/>
    </xf>
    <xf numFmtId="0" fontId="1" fillId="0" borderId="23" xfId="0" applyFont="1" applyBorder="1" applyAlignment="1">
      <alignment horizontal="center"/>
    </xf>
    <xf numFmtId="0" fontId="1" fillId="0" borderId="24" xfId="0" applyFont="1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24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8F6155-7524-4D3F-B70B-D3B595A2C7DB}">
  <dimension ref="B2:C27"/>
  <sheetViews>
    <sheetView tabSelected="1" workbookViewId="0">
      <selection activeCell="K33" sqref="K33"/>
    </sheetView>
  </sheetViews>
  <sheetFormatPr defaultRowHeight="15" x14ac:dyDescent="0.25"/>
  <cols>
    <col min="2" max="2" width="24.140625" customWidth="1"/>
    <col min="3" max="3" width="11.140625" bestFit="1" customWidth="1"/>
  </cols>
  <sheetData>
    <row r="2" spans="2:3" x14ac:dyDescent="0.25">
      <c r="B2" t="s">
        <v>131</v>
      </c>
    </row>
    <row r="4" spans="2:3" x14ac:dyDescent="0.25">
      <c r="B4" t="s">
        <v>132</v>
      </c>
    </row>
    <row r="6" spans="2:3" x14ac:dyDescent="0.25">
      <c r="B6" t="s">
        <v>133</v>
      </c>
    </row>
    <row r="7" spans="2:3" ht="15.75" thickBot="1" x14ac:dyDescent="0.3"/>
    <row r="8" spans="2:3" ht="15.75" thickBot="1" x14ac:dyDescent="0.3">
      <c r="B8" s="1" t="s">
        <v>0</v>
      </c>
    </row>
    <row r="9" spans="2:3" x14ac:dyDescent="0.25">
      <c r="B9" s="2" t="s">
        <v>1</v>
      </c>
    </row>
    <row r="10" spans="2:3" x14ac:dyDescent="0.25">
      <c r="B10" s="3" t="s">
        <v>2</v>
      </c>
    </row>
    <row r="11" spans="2:3" ht="15.75" thickBot="1" x14ac:dyDescent="0.3">
      <c r="B11" s="4" t="s">
        <v>3</v>
      </c>
    </row>
    <row r="13" spans="2:3" x14ac:dyDescent="0.25">
      <c r="B13" t="s">
        <v>134</v>
      </c>
      <c r="C13" t="s">
        <v>135</v>
      </c>
    </row>
    <row r="14" spans="2:3" x14ac:dyDescent="0.25">
      <c r="B14" t="s">
        <v>136</v>
      </c>
      <c r="C14" t="s">
        <v>150</v>
      </c>
    </row>
    <row r="15" spans="2:3" x14ac:dyDescent="0.25">
      <c r="B15" t="s">
        <v>137</v>
      </c>
      <c r="C15" t="s">
        <v>151</v>
      </c>
    </row>
    <row r="16" spans="2:3" x14ac:dyDescent="0.25">
      <c r="B16" t="s">
        <v>138</v>
      </c>
      <c r="C16" t="s">
        <v>152</v>
      </c>
    </row>
    <row r="17" spans="2:3" x14ac:dyDescent="0.25">
      <c r="B17" t="s">
        <v>139</v>
      </c>
      <c r="C17" t="s">
        <v>153</v>
      </c>
    </row>
    <row r="18" spans="2:3" x14ac:dyDescent="0.25">
      <c r="B18" t="s">
        <v>140</v>
      </c>
      <c r="C18" t="s">
        <v>154</v>
      </c>
    </row>
    <row r="19" spans="2:3" x14ac:dyDescent="0.25">
      <c r="B19" t="s">
        <v>141</v>
      </c>
      <c r="C19" t="s">
        <v>158</v>
      </c>
    </row>
    <row r="20" spans="2:3" x14ac:dyDescent="0.25">
      <c r="B20" t="s">
        <v>142</v>
      </c>
      <c r="C20" t="s">
        <v>159</v>
      </c>
    </row>
    <row r="21" spans="2:3" x14ac:dyDescent="0.25">
      <c r="B21" t="s">
        <v>143</v>
      </c>
      <c r="C21" t="s">
        <v>160</v>
      </c>
    </row>
    <row r="22" spans="2:3" x14ac:dyDescent="0.25">
      <c r="B22" t="s">
        <v>144</v>
      </c>
      <c r="C22" t="s">
        <v>161</v>
      </c>
    </row>
    <row r="23" spans="2:3" x14ac:dyDescent="0.25">
      <c r="B23" t="s">
        <v>145</v>
      </c>
      <c r="C23" t="s">
        <v>162</v>
      </c>
    </row>
    <row r="24" spans="2:3" x14ac:dyDescent="0.25">
      <c r="B24" t="s">
        <v>146</v>
      </c>
      <c r="C24" t="s">
        <v>163</v>
      </c>
    </row>
    <row r="25" spans="2:3" x14ac:dyDescent="0.25">
      <c r="B25" t="s">
        <v>147</v>
      </c>
      <c r="C25" t="s">
        <v>155</v>
      </c>
    </row>
    <row r="26" spans="2:3" x14ac:dyDescent="0.25">
      <c r="B26" t="s">
        <v>148</v>
      </c>
      <c r="C26" t="s">
        <v>156</v>
      </c>
    </row>
    <row r="27" spans="2:3" x14ac:dyDescent="0.25">
      <c r="B27" t="s">
        <v>149</v>
      </c>
      <c r="C27" t="s">
        <v>157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AA6DC6-C6C7-4258-889E-E73E2467EFE1}">
  <dimension ref="A1:O33"/>
  <sheetViews>
    <sheetView workbookViewId="0">
      <selection activeCell="N14" sqref="N14:N17"/>
    </sheetView>
  </sheetViews>
  <sheetFormatPr defaultRowHeight="15" x14ac:dyDescent="0.25"/>
  <cols>
    <col min="1" max="1" width="21.140625" bestFit="1" customWidth="1"/>
    <col min="2" max="3" width="22.28515625" bestFit="1" customWidth="1"/>
    <col min="4" max="4" width="21.5703125" bestFit="1" customWidth="1"/>
    <col min="5" max="5" width="24.7109375" bestFit="1" customWidth="1"/>
    <col min="6" max="6" width="23" bestFit="1" customWidth="1"/>
    <col min="7" max="7" width="23.28515625" customWidth="1"/>
    <col min="8" max="8" width="17.85546875" bestFit="1" customWidth="1"/>
    <col min="9" max="9" width="16" bestFit="1" customWidth="1"/>
    <col min="10" max="10" width="13.5703125" bestFit="1" customWidth="1"/>
    <col min="11" max="11" width="8.5703125" bestFit="1" customWidth="1"/>
    <col min="12" max="12" width="14.5703125" bestFit="1" customWidth="1"/>
    <col min="14" max="14" width="24.5703125" bestFit="1" customWidth="1"/>
    <col min="18" max="18" width="8.7109375" customWidth="1"/>
  </cols>
  <sheetData>
    <row r="1" spans="1:15" ht="15.75" thickBot="1" x14ac:dyDescent="0.3">
      <c r="A1" s="84" t="s">
        <v>15</v>
      </c>
      <c r="B1" s="91"/>
      <c r="C1" s="91"/>
      <c r="D1" s="91"/>
      <c r="E1" s="91"/>
      <c r="F1" s="91"/>
      <c r="G1" s="91"/>
      <c r="H1" s="91"/>
      <c r="I1" s="91"/>
      <c r="J1" s="91"/>
      <c r="K1" s="91"/>
      <c r="L1" s="85"/>
    </row>
    <row r="2" spans="1:15" ht="15.75" thickBot="1" x14ac:dyDescent="0.3">
      <c r="A2" s="11" t="s">
        <v>16</v>
      </c>
      <c r="B2" s="12" t="s">
        <v>17</v>
      </c>
      <c r="C2" s="13" t="s">
        <v>18</v>
      </c>
      <c r="D2" s="13" t="s">
        <v>19</v>
      </c>
      <c r="E2" s="13" t="s">
        <v>20</v>
      </c>
      <c r="F2" s="13" t="s">
        <v>21</v>
      </c>
      <c r="G2" s="13" t="s">
        <v>22</v>
      </c>
      <c r="H2" s="13" t="s">
        <v>23</v>
      </c>
      <c r="I2" s="13" t="s">
        <v>24</v>
      </c>
      <c r="J2" s="13" t="s">
        <v>25</v>
      </c>
      <c r="K2" s="13" t="s">
        <v>26</v>
      </c>
      <c r="L2" s="14" t="s">
        <v>27</v>
      </c>
      <c r="N2" s="84" t="s">
        <v>4</v>
      </c>
      <c r="O2" s="85"/>
    </row>
    <row r="3" spans="1:15" x14ac:dyDescent="0.25">
      <c r="A3" s="15" t="s">
        <v>28</v>
      </c>
      <c r="B3" s="16">
        <v>15</v>
      </c>
      <c r="C3" s="16">
        <v>298</v>
      </c>
      <c r="D3" s="16">
        <v>73</v>
      </c>
      <c r="E3" s="17">
        <f>D3/$O$5/1000</f>
        <v>0.27651515151515149</v>
      </c>
      <c r="F3" s="17">
        <f>B3*$O$11/$O$6/C3*$O$5*1000</f>
        <v>1211.2323396804065</v>
      </c>
      <c r="G3" s="17">
        <f>B3*$O$12/$O$6/C3*$O$5*1000</f>
        <v>1840.6883725598996</v>
      </c>
      <c r="H3" s="17">
        <f>B3*D3/($O$6*C3)</f>
        <v>11.56505849194679</v>
      </c>
      <c r="I3" s="17">
        <f>E3</f>
        <v>0.27651515151515149</v>
      </c>
      <c r="J3" s="17">
        <f>I3*F3</f>
        <v>334.92409392677905</v>
      </c>
      <c r="K3" s="18">
        <v>0</v>
      </c>
      <c r="L3" s="19">
        <v>0</v>
      </c>
      <c r="N3" s="5" t="s">
        <v>5</v>
      </c>
      <c r="O3" s="6">
        <v>8.3000000000000004E-2</v>
      </c>
    </row>
    <row r="4" spans="1:15" x14ac:dyDescent="0.25">
      <c r="A4" s="20" t="s">
        <v>29</v>
      </c>
      <c r="B4" s="21">
        <v>15</v>
      </c>
      <c r="C4" s="21">
        <v>298</v>
      </c>
      <c r="D4" s="21">
        <v>73</v>
      </c>
      <c r="E4" s="22">
        <f t="shared" ref="E4:E5" si="0">D4/$O$5/1000</f>
        <v>0.27651515151515149</v>
      </c>
      <c r="F4" s="22">
        <f>B4*$O$11/$O$6/C4*$O$5*1000</f>
        <v>1211.2323396804065</v>
      </c>
      <c r="G4" s="22">
        <f>B4*$O$12/$O$6/C4*$O$5*1000</f>
        <v>1840.6883725598996</v>
      </c>
      <c r="H4" s="17">
        <f>B4*D4/($O$6*C4)</f>
        <v>11.56505849194679</v>
      </c>
      <c r="I4" s="22">
        <f>(D4-E8)/O5/1000</f>
        <v>0</v>
      </c>
      <c r="J4" s="22">
        <f>I4*F4</f>
        <v>0</v>
      </c>
      <c r="K4" s="22">
        <f>E4-I4</f>
        <v>0.27651515151515149</v>
      </c>
      <c r="L4" s="23">
        <f>K4*G4</f>
        <v>508.97822423057823</v>
      </c>
      <c r="N4" s="7" t="s">
        <v>6</v>
      </c>
      <c r="O4" s="8">
        <v>14.5</v>
      </c>
    </row>
    <row r="5" spans="1:15" ht="15.75" thickBot="1" x14ac:dyDescent="0.3">
      <c r="A5" s="24" t="s">
        <v>30</v>
      </c>
      <c r="B5" s="25">
        <v>25</v>
      </c>
      <c r="C5" s="25">
        <v>298</v>
      </c>
      <c r="D5" s="25">
        <v>73</v>
      </c>
      <c r="E5" s="26">
        <f t="shared" si="0"/>
        <v>0.27651515151515149</v>
      </c>
      <c r="F5" s="26">
        <f>B5*$O$11/$O$6/C5*$O$5*1000</f>
        <v>2018.7205661340104</v>
      </c>
      <c r="G5" s="26">
        <f>B5*$O$12/$O$6/C5*$O$5*1000</f>
        <v>3067.813954266499</v>
      </c>
      <c r="H5" s="27">
        <f>B5*D5/($O$6*C5)</f>
        <v>19.275097486577984</v>
      </c>
      <c r="I5" s="26">
        <f>J5/F5</f>
        <v>0</v>
      </c>
      <c r="J5" s="26">
        <f>J4</f>
        <v>0</v>
      </c>
      <c r="K5" s="26">
        <f>E5-I5</f>
        <v>0.27651515151515149</v>
      </c>
      <c r="L5" s="28">
        <f>G5*K5</f>
        <v>848.29704038429702</v>
      </c>
      <c r="N5" s="7" t="s">
        <v>7</v>
      </c>
      <c r="O5" s="8">
        <v>0.26400000000000001</v>
      </c>
    </row>
    <row r="6" spans="1:15" ht="15.75" thickBot="1" x14ac:dyDescent="0.3">
      <c r="A6" s="92" t="s">
        <v>31</v>
      </c>
      <c r="B6" s="93"/>
      <c r="C6" s="93"/>
      <c r="D6" s="93"/>
      <c r="E6" s="93"/>
      <c r="F6" s="93"/>
      <c r="G6" s="93"/>
      <c r="H6" s="93"/>
      <c r="I6" s="93"/>
      <c r="J6" s="93"/>
      <c r="K6" s="93"/>
      <c r="L6" s="94"/>
      <c r="N6" s="7" t="s">
        <v>8</v>
      </c>
      <c r="O6" s="8">
        <f>O3*O4*O5</f>
        <v>0.31772400000000001</v>
      </c>
    </row>
    <row r="7" spans="1:15" ht="15.75" thickBot="1" x14ac:dyDescent="0.3">
      <c r="A7" s="29" t="s">
        <v>16</v>
      </c>
      <c r="B7" s="12" t="s">
        <v>32</v>
      </c>
      <c r="C7" s="13" t="s">
        <v>33</v>
      </c>
      <c r="D7" s="13" t="s">
        <v>34</v>
      </c>
      <c r="E7" s="13" t="s">
        <v>35</v>
      </c>
      <c r="F7" s="13" t="s">
        <v>36</v>
      </c>
      <c r="G7" s="13" t="s">
        <v>37</v>
      </c>
      <c r="H7" s="13" t="s">
        <v>38</v>
      </c>
      <c r="I7" s="13" t="s">
        <v>39</v>
      </c>
      <c r="J7" s="13" t="s">
        <v>40</v>
      </c>
      <c r="K7" s="13"/>
      <c r="L7" s="14"/>
      <c r="N7" s="7" t="s">
        <v>9</v>
      </c>
      <c r="O7" s="8">
        <v>1.96</v>
      </c>
    </row>
    <row r="8" spans="1:15" ht="15.75" thickBot="1" x14ac:dyDescent="0.3">
      <c r="A8" s="30" t="s">
        <v>41</v>
      </c>
      <c r="B8" s="31">
        <v>5</v>
      </c>
      <c r="C8" s="31">
        <v>15</v>
      </c>
      <c r="D8" s="32">
        <f>B8*C8</f>
        <v>75</v>
      </c>
      <c r="E8" s="33">
        <f>IF((D3-D8)&lt;=0,D3,D8)</f>
        <v>73</v>
      </c>
      <c r="F8" s="33">
        <f>IF((D8-D3)&gt;=0,D8-D3,0)</f>
        <v>2</v>
      </c>
      <c r="G8" s="33">
        <f>D8-F8</f>
        <v>73</v>
      </c>
      <c r="H8" s="33">
        <f>G8/O5/1000*G4</f>
        <v>508.97822423057823</v>
      </c>
      <c r="I8" s="34">
        <f>F8/O5/1000*G4</f>
        <v>13.944608883029542</v>
      </c>
      <c r="J8" s="34">
        <f>D8/O5/1000*G4</f>
        <v>522.92283311360779</v>
      </c>
      <c r="K8" s="35"/>
      <c r="L8" s="36"/>
      <c r="N8" s="7" t="s">
        <v>10</v>
      </c>
      <c r="O8" s="8">
        <v>1000</v>
      </c>
    </row>
    <row r="9" spans="1:15" ht="15.75" thickBot="1" x14ac:dyDescent="0.3">
      <c r="N9" s="7" t="s">
        <v>11</v>
      </c>
      <c r="O9" s="8">
        <v>1</v>
      </c>
    </row>
    <row r="10" spans="1:15" ht="15.75" thickBot="1" x14ac:dyDescent="0.3">
      <c r="A10" s="84" t="s">
        <v>42</v>
      </c>
      <c r="B10" s="91"/>
      <c r="C10" s="91"/>
      <c r="D10" s="91"/>
      <c r="E10" s="91"/>
      <c r="F10" s="91"/>
      <c r="G10" s="91"/>
      <c r="H10" s="91"/>
      <c r="I10" s="91"/>
      <c r="J10" s="91"/>
      <c r="K10" s="91"/>
      <c r="L10" s="85"/>
      <c r="N10" s="7" t="s">
        <v>12</v>
      </c>
      <c r="O10" s="8">
        <v>62</v>
      </c>
    </row>
    <row r="11" spans="1:15" ht="15.75" thickBot="1" x14ac:dyDescent="0.3">
      <c r="A11" s="37" t="s">
        <v>16</v>
      </c>
      <c r="B11" s="38" t="s">
        <v>17</v>
      </c>
      <c r="C11" s="38" t="s">
        <v>18</v>
      </c>
      <c r="D11" s="38" t="s">
        <v>19</v>
      </c>
      <c r="E11" s="38" t="s">
        <v>43</v>
      </c>
      <c r="F11" s="38" t="s">
        <v>44</v>
      </c>
      <c r="G11" s="38" t="s">
        <v>45</v>
      </c>
      <c r="H11" s="38" t="s">
        <v>46</v>
      </c>
      <c r="I11" s="38" t="s">
        <v>25</v>
      </c>
      <c r="J11" s="38" t="s">
        <v>47</v>
      </c>
      <c r="K11" s="38" t="s">
        <v>48</v>
      </c>
      <c r="L11" s="39" t="s">
        <v>49</v>
      </c>
      <c r="N11" s="7" t="s">
        <v>13</v>
      </c>
      <c r="O11" s="8">
        <v>28.96</v>
      </c>
    </row>
    <row r="12" spans="1:15" ht="15.75" thickBot="1" x14ac:dyDescent="0.3">
      <c r="A12" s="15" t="s">
        <v>50</v>
      </c>
      <c r="B12" s="40">
        <v>25</v>
      </c>
      <c r="C12" s="40">
        <v>298</v>
      </c>
      <c r="D12" s="40">
        <f>D5</f>
        <v>73</v>
      </c>
      <c r="E12" s="41">
        <f>B12*D12/(C12*$O$6)</f>
        <v>19.275097486577984</v>
      </c>
      <c r="F12" s="41">
        <f>H12/E12</f>
        <v>0</v>
      </c>
      <c r="G12" s="41">
        <f>J12/E12</f>
        <v>1</v>
      </c>
      <c r="H12" s="41">
        <f>I12/O11</f>
        <v>0</v>
      </c>
      <c r="I12" s="42">
        <f>J5</f>
        <v>0</v>
      </c>
      <c r="J12" s="41">
        <f>K12/O12</f>
        <v>19.275097486577984</v>
      </c>
      <c r="K12" s="42">
        <f>L5</f>
        <v>848.29704038429702</v>
      </c>
      <c r="L12" s="43">
        <v>0</v>
      </c>
      <c r="N12" s="9" t="s">
        <v>14</v>
      </c>
      <c r="O12" s="10">
        <v>44.01</v>
      </c>
    </row>
    <row r="13" spans="1:15" ht="15.75" thickBot="1" x14ac:dyDescent="0.3">
      <c r="A13" s="44" t="s">
        <v>51</v>
      </c>
      <c r="B13" s="45">
        <v>25</v>
      </c>
      <c r="C13" s="45">
        <v>298</v>
      </c>
      <c r="D13" s="46">
        <f>D12-O10</f>
        <v>11</v>
      </c>
      <c r="E13" s="47">
        <f>B13*D13/(C13*$O$6)</f>
        <v>2.9044667445528467</v>
      </c>
      <c r="F13" s="47">
        <f>F12</f>
        <v>0</v>
      </c>
      <c r="G13" s="47">
        <f>G12</f>
        <v>1</v>
      </c>
      <c r="H13" s="47">
        <f>F13*E13</f>
        <v>0</v>
      </c>
      <c r="I13" s="47">
        <f>H13*$O$11</f>
        <v>0</v>
      </c>
      <c r="J13" s="47">
        <f>G13*E13</f>
        <v>2.9044667445528467</v>
      </c>
      <c r="K13" s="47">
        <f>J13*$O$12</f>
        <v>127.82558142777077</v>
      </c>
      <c r="L13" s="48">
        <f>K12-K13</f>
        <v>720.47145895652625</v>
      </c>
    </row>
    <row r="14" spans="1:15" ht="15.75" thickBot="1" x14ac:dyDescent="0.3">
      <c r="N14" s="1" t="s">
        <v>0</v>
      </c>
    </row>
    <row r="15" spans="1:15" ht="15.75" thickBot="1" x14ac:dyDescent="0.3">
      <c r="A15" s="92" t="s">
        <v>52</v>
      </c>
      <c r="B15" s="93"/>
      <c r="C15" s="93"/>
      <c r="D15" s="93"/>
      <c r="E15" s="94"/>
      <c r="N15" s="2" t="s">
        <v>1</v>
      </c>
    </row>
    <row r="16" spans="1:15" ht="15.75" thickBot="1" x14ac:dyDescent="0.3">
      <c r="A16" s="37" t="s">
        <v>16</v>
      </c>
      <c r="B16" s="38" t="s">
        <v>53</v>
      </c>
      <c r="C16" s="38" t="s">
        <v>54</v>
      </c>
      <c r="D16" s="38" t="s">
        <v>55</v>
      </c>
      <c r="E16" s="39" t="s">
        <v>56</v>
      </c>
      <c r="N16" s="3" t="s">
        <v>2</v>
      </c>
    </row>
    <row r="17" spans="1:14" ht="15.75" thickBot="1" x14ac:dyDescent="0.3">
      <c r="A17" s="15" t="s">
        <v>57</v>
      </c>
      <c r="B17" s="40">
        <v>0.88</v>
      </c>
      <c r="C17" s="40">
        <f>B17*$O$7</f>
        <v>1.7247999999999999</v>
      </c>
      <c r="D17" s="49"/>
      <c r="E17" s="50"/>
      <c r="N17" s="4" t="s">
        <v>3</v>
      </c>
    </row>
    <row r="18" spans="1:14" x14ac:dyDescent="0.25">
      <c r="A18" s="20" t="s">
        <v>58</v>
      </c>
      <c r="B18" s="21">
        <v>2.5</v>
      </c>
      <c r="C18" s="21">
        <f>B18*$O$7</f>
        <v>4.9000000000000004</v>
      </c>
      <c r="D18" s="51"/>
      <c r="E18" s="8"/>
    </row>
    <row r="19" spans="1:14" ht="15.75" thickBot="1" x14ac:dyDescent="0.3">
      <c r="A19" s="44" t="s">
        <v>59</v>
      </c>
      <c r="B19" s="52"/>
      <c r="C19" s="52"/>
      <c r="D19" s="53">
        <f>C18-C17</f>
        <v>3.1752000000000002</v>
      </c>
      <c r="E19" s="48">
        <f>D19*O10/O5</f>
        <v>745.69090909090903</v>
      </c>
    </row>
    <row r="20" spans="1:14" ht="15.75" thickBot="1" x14ac:dyDescent="0.3"/>
    <row r="21" spans="1:14" ht="15.75" thickBot="1" x14ac:dyDescent="0.3">
      <c r="A21" s="84" t="s">
        <v>60</v>
      </c>
      <c r="B21" s="91"/>
      <c r="C21" s="91"/>
      <c r="D21" s="91"/>
      <c r="E21" s="91"/>
      <c r="F21" s="91"/>
      <c r="G21" s="91"/>
      <c r="H21" s="91"/>
      <c r="I21" s="91"/>
      <c r="J21" s="91"/>
      <c r="K21" s="91"/>
      <c r="L21" s="85"/>
    </row>
    <row r="22" spans="1:14" ht="15.75" thickBot="1" x14ac:dyDescent="0.3">
      <c r="A22" s="37" t="s">
        <v>16</v>
      </c>
      <c r="B22" s="38" t="s">
        <v>17</v>
      </c>
      <c r="C22" s="38" t="s">
        <v>18</v>
      </c>
      <c r="D22" s="38" t="s">
        <v>19</v>
      </c>
      <c r="E22" s="38" t="s">
        <v>43</v>
      </c>
      <c r="F22" s="38" t="s">
        <v>44</v>
      </c>
      <c r="G22" s="38" t="s">
        <v>45</v>
      </c>
      <c r="H22" s="38" t="s">
        <v>46</v>
      </c>
      <c r="I22" s="38" t="s">
        <v>25</v>
      </c>
      <c r="J22" s="38" t="s">
        <v>47</v>
      </c>
      <c r="K22" s="38" t="s">
        <v>48</v>
      </c>
      <c r="L22" s="39" t="s">
        <v>61</v>
      </c>
    </row>
    <row r="23" spans="1:14" x14ac:dyDescent="0.25">
      <c r="A23" s="15" t="s">
        <v>62</v>
      </c>
      <c r="B23" s="40">
        <v>25</v>
      </c>
      <c r="C23" s="40">
        <v>298</v>
      </c>
      <c r="D23" s="42">
        <f>D13</f>
        <v>11</v>
      </c>
      <c r="E23" s="41">
        <f>B23*D23/(C23*$O$6)</f>
        <v>2.9044667445528467</v>
      </c>
      <c r="F23" s="42">
        <f>F13</f>
        <v>0</v>
      </c>
      <c r="G23" s="42">
        <f>G13</f>
        <v>1</v>
      </c>
      <c r="H23" s="41">
        <f>F23*E23</f>
        <v>0</v>
      </c>
      <c r="I23" s="41">
        <f>H23*$O$11</f>
        <v>0</v>
      </c>
      <c r="J23" s="41">
        <f>G23*E23</f>
        <v>2.9044667445528467</v>
      </c>
      <c r="K23" s="41">
        <f>J23*$O$12</f>
        <v>127.82558142777077</v>
      </c>
      <c r="L23" s="43">
        <v>0</v>
      </c>
    </row>
    <row r="24" spans="1:14" ht="15.75" thickBot="1" x14ac:dyDescent="0.3">
      <c r="A24" s="44" t="s">
        <v>63</v>
      </c>
      <c r="B24" s="45">
        <v>25</v>
      </c>
      <c r="C24" s="45">
        <v>298</v>
      </c>
      <c r="D24" s="46">
        <f>D23+O10</f>
        <v>73</v>
      </c>
      <c r="E24" s="47">
        <f>B24*D24/(C24*$O$6)</f>
        <v>19.275097486577984</v>
      </c>
      <c r="F24" s="47">
        <f>H24/E24</f>
        <v>0</v>
      </c>
      <c r="G24" s="47">
        <f>J24/E24</f>
        <v>1</v>
      </c>
      <c r="H24" s="47">
        <f>H23</f>
        <v>0</v>
      </c>
      <c r="I24" s="47">
        <f t="shared" ref="I24" si="1">H24*$O$11</f>
        <v>0</v>
      </c>
      <c r="J24" s="47">
        <f>E24-H24</f>
        <v>19.275097486577984</v>
      </c>
      <c r="K24" s="47">
        <f t="shared" ref="K24" si="2">J24*$O$12</f>
        <v>848.29704038429702</v>
      </c>
      <c r="L24" s="48">
        <f>K24</f>
        <v>848.29704038429702</v>
      </c>
    </row>
    <row r="25" spans="1:14" ht="15.75" thickBot="1" x14ac:dyDescent="0.3"/>
    <row r="26" spans="1:14" ht="15.75" thickBot="1" x14ac:dyDescent="0.3">
      <c r="A26" s="88" t="s">
        <v>64</v>
      </c>
      <c r="B26" s="89"/>
      <c r="C26" s="89"/>
      <c r="D26" s="89"/>
      <c r="E26" s="89"/>
      <c r="F26" s="89"/>
      <c r="G26" s="90"/>
    </row>
    <row r="27" spans="1:14" ht="15.75" thickBot="1" x14ac:dyDescent="0.3">
      <c r="A27" s="37" t="s">
        <v>65</v>
      </c>
      <c r="B27" s="38" t="s">
        <v>66</v>
      </c>
      <c r="C27" s="38" t="s">
        <v>67</v>
      </c>
      <c r="D27" s="38" t="s">
        <v>68</v>
      </c>
      <c r="E27" s="38" t="s">
        <v>69</v>
      </c>
      <c r="F27" s="38" t="s">
        <v>70</v>
      </c>
      <c r="G27" s="39" t="s">
        <v>71</v>
      </c>
    </row>
    <row r="28" spans="1:14" x14ac:dyDescent="0.25">
      <c r="A28" s="15" t="s">
        <v>72</v>
      </c>
      <c r="B28" s="41">
        <f>J8+(L5-L4)</f>
        <v>862.24164926732658</v>
      </c>
      <c r="C28" s="41">
        <f>B28/$O$8</f>
        <v>0.8622416492673266</v>
      </c>
      <c r="D28" s="41">
        <f>I8</f>
        <v>13.944608883029542</v>
      </c>
      <c r="E28" s="41">
        <f>D28/$O$8</f>
        <v>1.3944608883029541E-2</v>
      </c>
      <c r="F28" s="41">
        <v>0</v>
      </c>
      <c r="G28" s="54">
        <f>F28/O8</f>
        <v>0</v>
      </c>
    </row>
    <row r="29" spans="1:14" x14ac:dyDescent="0.25">
      <c r="A29" s="20" t="s">
        <v>73</v>
      </c>
      <c r="B29" s="22">
        <v>0</v>
      </c>
      <c r="C29" s="22">
        <f t="shared" ref="C29:C32" si="3">B29/$O$8</f>
        <v>0</v>
      </c>
      <c r="D29" s="22">
        <f>L13</f>
        <v>720.47145895652625</v>
      </c>
      <c r="E29" s="22">
        <f t="shared" ref="E29:E33" si="4">D29/$O$8</f>
        <v>0.7204714589565262</v>
      </c>
      <c r="F29" s="22">
        <v>0</v>
      </c>
      <c r="G29" s="55">
        <f>F29/O8</f>
        <v>0</v>
      </c>
    </row>
    <row r="30" spans="1:14" x14ac:dyDescent="0.25">
      <c r="A30" s="20" t="s">
        <v>74</v>
      </c>
      <c r="B30" s="22">
        <f>E19</f>
        <v>745.69090909090903</v>
      </c>
      <c r="C30" s="22">
        <f t="shared" si="3"/>
        <v>0.74569090909090907</v>
      </c>
      <c r="D30" s="22">
        <v>0</v>
      </c>
      <c r="E30" s="22">
        <f t="shared" si="4"/>
        <v>0</v>
      </c>
      <c r="F30" s="22">
        <f>E19</f>
        <v>745.69090909090903</v>
      </c>
      <c r="G30" s="55">
        <f>F30/O8</f>
        <v>0.74569090909090907</v>
      </c>
    </row>
    <row r="31" spans="1:14" x14ac:dyDescent="0.25">
      <c r="A31" s="20" t="s">
        <v>75</v>
      </c>
      <c r="B31" s="22">
        <f>K24-K23</f>
        <v>720.47145895652625</v>
      </c>
      <c r="C31" s="22">
        <f t="shared" si="3"/>
        <v>0.7204714589565262</v>
      </c>
      <c r="D31" s="22">
        <v>0</v>
      </c>
      <c r="E31" s="22">
        <f t="shared" si="4"/>
        <v>0</v>
      </c>
      <c r="F31" s="22">
        <v>0</v>
      </c>
      <c r="G31" s="55">
        <f>F31/O8</f>
        <v>0</v>
      </c>
    </row>
    <row r="32" spans="1:14" ht="15.75" thickBot="1" x14ac:dyDescent="0.3">
      <c r="A32" s="44" t="s">
        <v>76</v>
      </c>
      <c r="B32" s="47">
        <f>0</f>
        <v>0</v>
      </c>
      <c r="C32" s="47">
        <f t="shared" si="3"/>
        <v>0</v>
      </c>
      <c r="D32" s="47">
        <f>L24</f>
        <v>848.29704038429702</v>
      </c>
      <c r="E32" s="47">
        <f t="shared" si="4"/>
        <v>0.84829704038429699</v>
      </c>
      <c r="F32" s="47">
        <v>0</v>
      </c>
      <c r="G32" s="56">
        <f>F32/O8</f>
        <v>0</v>
      </c>
    </row>
    <row r="33" spans="1:7" ht="15.75" thickBot="1" x14ac:dyDescent="0.3">
      <c r="A33" s="12" t="s">
        <v>77</v>
      </c>
      <c r="B33" s="57">
        <f>SUM(B28:B32)</f>
        <v>2328.4040173147619</v>
      </c>
      <c r="C33" s="57">
        <f>B33/$O$8</f>
        <v>2.328404017314762</v>
      </c>
      <c r="D33" s="57">
        <f>SUM(D28:D32)</f>
        <v>1582.7131082238529</v>
      </c>
      <c r="E33" s="57">
        <f t="shared" si="4"/>
        <v>1.582713108223853</v>
      </c>
      <c r="F33" s="57">
        <f>SUM(F28:F32)</f>
        <v>745.69090909090903</v>
      </c>
      <c r="G33" s="58">
        <f>F33/O8</f>
        <v>0.74569090909090907</v>
      </c>
    </row>
  </sheetData>
  <mergeCells count="7">
    <mergeCell ref="A26:G26"/>
    <mergeCell ref="A1:L1"/>
    <mergeCell ref="N2:O2"/>
    <mergeCell ref="A6:L6"/>
    <mergeCell ref="A10:L10"/>
    <mergeCell ref="A15:E15"/>
    <mergeCell ref="A21:L2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3AB177-7A1E-4826-9D89-EDA3DDBC1265}">
  <dimension ref="A1:O30"/>
  <sheetViews>
    <sheetView workbookViewId="0">
      <selection activeCell="I22" sqref="I22"/>
    </sheetView>
  </sheetViews>
  <sheetFormatPr defaultRowHeight="15" x14ac:dyDescent="0.25"/>
  <cols>
    <col min="1" max="1" width="30.28515625" bestFit="1" customWidth="1"/>
    <col min="2" max="2" width="22.85546875" bestFit="1" customWidth="1"/>
    <col min="3" max="3" width="22.42578125" bestFit="1" customWidth="1"/>
    <col min="4" max="4" width="19" bestFit="1" customWidth="1"/>
    <col min="5" max="5" width="18.7109375" bestFit="1" customWidth="1"/>
    <col min="6" max="6" width="26.28515625" bestFit="1" customWidth="1"/>
    <col min="7" max="7" width="29" bestFit="1" customWidth="1"/>
    <col min="8" max="8" width="27.7109375" bestFit="1" customWidth="1"/>
    <col min="9" max="9" width="31.42578125" bestFit="1" customWidth="1"/>
    <col min="10" max="10" width="23.85546875" bestFit="1" customWidth="1"/>
    <col min="11" max="11" width="14.28515625" bestFit="1" customWidth="1"/>
    <col min="12" max="12" width="15.28515625" bestFit="1" customWidth="1"/>
    <col min="14" max="14" width="24.42578125" bestFit="1" customWidth="1"/>
    <col min="15" max="15" width="12.5703125" bestFit="1" customWidth="1"/>
  </cols>
  <sheetData>
    <row r="1" spans="1:15" ht="15.75" thickBot="1" x14ac:dyDescent="0.3">
      <c r="A1" s="81" t="s">
        <v>94</v>
      </c>
      <c r="B1" s="82"/>
      <c r="C1" s="82"/>
      <c r="D1" s="82"/>
      <c r="E1" s="82"/>
      <c r="F1" s="82"/>
      <c r="G1" s="82"/>
      <c r="H1" s="82"/>
      <c r="I1" s="82"/>
      <c r="J1" s="82"/>
      <c r="K1" s="82"/>
      <c r="L1" s="83"/>
    </row>
    <row r="2" spans="1:15" ht="15.75" thickBot="1" x14ac:dyDescent="0.3">
      <c r="A2" s="37" t="s">
        <v>95</v>
      </c>
      <c r="B2" s="38" t="s">
        <v>96</v>
      </c>
      <c r="C2" s="38" t="s">
        <v>97</v>
      </c>
      <c r="D2" s="38" t="s">
        <v>98</v>
      </c>
      <c r="E2" s="38" t="s">
        <v>99</v>
      </c>
      <c r="F2" s="38" t="s">
        <v>100</v>
      </c>
      <c r="G2" s="38" t="s">
        <v>101</v>
      </c>
      <c r="H2" s="38" t="s">
        <v>102</v>
      </c>
      <c r="I2" s="38" t="s">
        <v>103</v>
      </c>
      <c r="J2" s="38" t="s">
        <v>104</v>
      </c>
      <c r="K2" s="38" t="s">
        <v>105</v>
      </c>
      <c r="L2" s="39" t="s">
        <v>106</v>
      </c>
      <c r="N2" s="84" t="s">
        <v>78</v>
      </c>
      <c r="O2" s="85"/>
    </row>
    <row r="3" spans="1:15" ht="15.75" thickBot="1" x14ac:dyDescent="0.3">
      <c r="A3" s="12" t="s">
        <v>107</v>
      </c>
      <c r="B3" s="63">
        <v>1</v>
      </c>
      <c r="C3" s="64">
        <f>B3*O22</f>
        <v>2.5399999999999999E-2</v>
      </c>
      <c r="D3" s="63">
        <v>1.25</v>
      </c>
      <c r="E3" s="63">
        <v>5</v>
      </c>
      <c r="F3" s="64">
        <f>E3*O23</f>
        <v>1.524</v>
      </c>
      <c r="G3" s="63" t="s">
        <v>108</v>
      </c>
      <c r="H3" s="64">
        <f>O8/(PI()*C3^2/4)</f>
        <v>0.24918247997348297</v>
      </c>
      <c r="I3" s="64">
        <f>H3*C3/O6</f>
        <v>2637.1812463860283</v>
      </c>
      <c r="J3" s="65">
        <f>0.002/1000/C3</f>
        <v>7.8740157480314957E-5</v>
      </c>
      <c r="K3" s="64">
        <f>16/I3</f>
        <v>6.0670839449985733E-3</v>
      </c>
      <c r="L3" s="66">
        <f>K3*4*F3/C3</f>
        <v>1.4561001467996577</v>
      </c>
      <c r="N3" s="59" t="s">
        <v>18</v>
      </c>
      <c r="O3" s="6">
        <v>298</v>
      </c>
    </row>
    <row r="4" spans="1:15" ht="15.75" thickBot="1" x14ac:dyDescent="0.3">
      <c r="N4" s="20" t="s">
        <v>79</v>
      </c>
      <c r="O4" s="8">
        <v>1000</v>
      </c>
    </row>
    <row r="5" spans="1:15" ht="15.75" thickBot="1" x14ac:dyDescent="0.3">
      <c r="A5" s="81" t="s">
        <v>109</v>
      </c>
      <c r="B5" s="82"/>
      <c r="C5" s="82"/>
      <c r="D5" s="82"/>
      <c r="E5" s="82"/>
      <c r="F5" s="82"/>
      <c r="G5" s="82"/>
      <c r="H5" s="82"/>
      <c r="I5" s="83"/>
      <c r="N5" s="20" t="s">
        <v>80</v>
      </c>
      <c r="O5" s="60">
        <f>2.4*10^-3</f>
        <v>2.3999999999999998E-3</v>
      </c>
    </row>
    <row r="6" spans="1:15" ht="15.75" thickBot="1" x14ac:dyDescent="0.3">
      <c r="A6" s="12" t="s">
        <v>16</v>
      </c>
      <c r="B6" s="13" t="s">
        <v>110</v>
      </c>
      <c r="C6" s="13" t="s">
        <v>111</v>
      </c>
      <c r="D6" s="13" t="s">
        <v>112</v>
      </c>
      <c r="E6" s="13" t="s">
        <v>113</v>
      </c>
      <c r="F6" s="13" t="s">
        <v>114</v>
      </c>
      <c r="G6" s="13" t="s">
        <v>115</v>
      </c>
      <c r="H6" s="13" t="s">
        <v>116</v>
      </c>
      <c r="I6" s="14" t="s">
        <v>117</v>
      </c>
      <c r="N6" s="20" t="s">
        <v>81</v>
      </c>
      <c r="O6" s="60">
        <f>O5/O4</f>
        <v>2.3999999999999999E-6</v>
      </c>
    </row>
    <row r="7" spans="1:15" ht="15.75" thickBot="1" x14ac:dyDescent="0.3">
      <c r="A7" s="30" t="s">
        <v>118</v>
      </c>
      <c r="B7" s="31">
        <v>10</v>
      </c>
      <c r="C7" s="32">
        <f>B7*O25</f>
        <v>68948</v>
      </c>
      <c r="D7" s="32">
        <f>C7/O4/O21</f>
        <v>7.0355102040816311</v>
      </c>
      <c r="E7" s="31">
        <v>0</v>
      </c>
      <c r="F7" s="32">
        <f>E7*O23</f>
        <v>0</v>
      </c>
      <c r="G7" s="32">
        <f>L3/C3^4</f>
        <v>3498294.5958505683</v>
      </c>
      <c r="H7" s="67">
        <f>G7*8*O8^2/(O21*PI()^2)</f>
        <v>4.6128590218456108E-3</v>
      </c>
      <c r="I7" s="68">
        <f>H7+F7+D7</f>
        <v>7.0401230631034766</v>
      </c>
      <c r="N7" s="20" t="s">
        <v>82</v>
      </c>
      <c r="O7" s="8">
        <v>2</v>
      </c>
    </row>
    <row r="8" spans="1:15" ht="15.75" thickBot="1" x14ac:dyDescent="0.3">
      <c r="N8" s="20" t="s">
        <v>83</v>
      </c>
      <c r="O8" s="60">
        <f>O7/O16*O18/O20</f>
        <v>1.2626262626262626E-4</v>
      </c>
    </row>
    <row r="9" spans="1:15" ht="15.75" thickBot="1" x14ac:dyDescent="0.3">
      <c r="A9" s="81" t="s">
        <v>119</v>
      </c>
      <c r="B9" s="82"/>
      <c r="C9" s="82"/>
      <c r="D9" s="82"/>
      <c r="E9" s="82"/>
      <c r="F9" s="82"/>
      <c r="G9" s="82"/>
      <c r="H9" s="82"/>
      <c r="I9" s="83"/>
      <c r="N9" s="44" t="s">
        <v>84</v>
      </c>
      <c r="O9" s="10">
        <f>O8*O4</f>
        <v>0.12626262626262627</v>
      </c>
    </row>
    <row r="10" spans="1:15" ht="15.75" thickBot="1" x14ac:dyDescent="0.3">
      <c r="A10" s="69" t="s">
        <v>120</v>
      </c>
      <c r="B10" s="70" t="s">
        <v>121</v>
      </c>
      <c r="C10" s="70" t="s">
        <v>122</v>
      </c>
      <c r="D10" s="70" t="s">
        <v>123</v>
      </c>
      <c r="E10" s="70" t="s">
        <v>124</v>
      </c>
      <c r="F10" s="70" t="s">
        <v>125</v>
      </c>
      <c r="G10" s="70" t="s">
        <v>126</v>
      </c>
      <c r="H10" s="70" t="s">
        <v>127</v>
      </c>
      <c r="I10" s="71" t="s">
        <v>128</v>
      </c>
    </row>
    <row r="11" spans="1:15" ht="15.75" thickBot="1" x14ac:dyDescent="0.3">
      <c r="A11" s="72" t="s">
        <v>41</v>
      </c>
      <c r="B11" s="42">
        <v>0.7</v>
      </c>
      <c r="C11" s="41">
        <f>I7*O21*O4*O8/B11</f>
        <v>12.44466198023342</v>
      </c>
      <c r="D11" s="73" t="s">
        <v>129</v>
      </c>
      <c r="E11" s="73" t="s">
        <v>129</v>
      </c>
      <c r="F11" s="42">
        <f>O9</f>
        <v>0.12626262626262627</v>
      </c>
      <c r="G11" s="74">
        <f>C11/F11</f>
        <v>98.561722883448681</v>
      </c>
      <c r="H11" s="75">
        <f>C11/1000/F11/3600</f>
        <v>2.7378256356513523E-5</v>
      </c>
      <c r="I11" s="76">
        <f>H11*O24</f>
        <v>6.4297420231206005E-3</v>
      </c>
      <c r="N11" s="86" t="s">
        <v>85</v>
      </c>
      <c r="O11" s="87"/>
    </row>
    <row r="12" spans="1:15" ht="15.75" thickBot="1" x14ac:dyDescent="0.3">
      <c r="A12" s="9" t="s">
        <v>130</v>
      </c>
      <c r="B12" s="46">
        <v>0.7</v>
      </c>
      <c r="C12" s="46">
        <f>240*10/B12</f>
        <v>3428.5714285714289</v>
      </c>
      <c r="D12" s="46">
        <v>72</v>
      </c>
      <c r="E12" s="47">
        <f>D12*3600</f>
        <v>259200</v>
      </c>
      <c r="F12" s="77">
        <f>O14/O16*O18*O4/E12</f>
        <v>9.060512532734756E-4</v>
      </c>
      <c r="G12" s="78">
        <f>C12/F12</f>
        <v>3784081.1059907833</v>
      </c>
      <c r="H12" s="77">
        <f>C12/1000/F12/3600</f>
        <v>1.0511336405529954</v>
      </c>
      <c r="I12" s="79">
        <f>H12*O24</f>
        <v>246.85714285714289</v>
      </c>
      <c r="N12" s="5" t="s">
        <v>5</v>
      </c>
      <c r="O12" s="6">
        <v>8.3000000000000004E-2</v>
      </c>
    </row>
    <row r="13" spans="1:15" x14ac:dyDescent="0.25">
      <c r="N13" s="7" t="s">
        <v>6</v>
      </c>
      <c r="O13" s="8">
        <v>14.5</v>
      </c>
    </row>
    <row r="14" spans="1:15" x14ac:dyDescent="0.25">
      <c r="I14" s="80"/>
      <c r="N14" s="7" t="s">
        <v>12</v>
      </c>
      <c r="O14" s="8">
        <v>62</v>
      </c>
    </row>
    <row r="15" spans="1:15" x14ac:dyDescent="0.25">
      <c r="N15" s="7" t="s">
        <v>86</v>
      </c>
      <c r="O15" s="8">
        <f>O14/O16/1000</f>
        <v>0.23484848484848483</v>
      </c>
    </row>
    <row r="16" spans="1:15" x14ac:dyDescent="0.25">
      <c r="N16" s="7" t="s">
        <v>7</v>
      </c>
      <c r="O16" s="8">
        <v>0.26400000000000001</v>
      </c>
    </row>
    <row r="17" spans="14:15" x14ac:dyDescent="0.25">
      <c r="N17" s="7" t="s">
        <v>8</v>
      </c>
      <c r="O17" s="8">
        <f>O12*O13*O16</f>
        <v>0.31772400000000001</v>
      </c>
    </row>
    <row r="18" spans="14:15" x14ac:dyDescent="0.25">
      <c r="N18" s="7" t="s">
        <v>87</v>
      </c>
      <c r="O18" s="60">
        <v>1E-3</v>
      </c>
    </row>
    <row r="19" spans="14:15" x14ac:dyDescent="0.25">
      <c r="N19" s="7" t="s">
        <v>14</v>
      </c>
      <c r="O19" s="8">
        <v>44.01</v>
      </c>
    </row>
    <row r="20" spans="14:15" x14ac:dyDescent="0.25">
      <c r="N20" s="7" t="s">
        <v>88</v>
      </c>
      <c r="O20" s="8">
        <v>60</v>
      </c>
    </row>
    <row r="21" spans="14:15" x14ac:dyDescent="0.25">
      <c r="N21" s="7" t="s">
        <v>89</v>
      </c>
      <c r="O21" s="8">
        <v>9.8000000000000007</v>
      </c>
    </row>
    <row r="22" spans="14:15" x14ac:dyDescent="0.25">
      <c r="N22" s="7" t="s">
        <v>90</v>
      </c>
      <c r="O22" s="8">
        <v>2.5399999999999999E-2</v>
      </c>
    </row>
    <row r="23" spans="14:15" x14ac:dyDescent="0.25">
      <c r="N23" s="7" t="s">
        <v>91</v>
      </c>
      <c r="O23" s="8">
        <v>0.30480000000000002</v>
      </c>
    </row>
    <row r="24" spans="14:15" x14ac:dyDescent="0.25">
      <c r="N24" s="61" t="s">
        <v>92</v>
      </c>
      <c r="O24" s="62">
        <f>O14/O16*O18*O4</f>
        <v>234.84848484848487</v>
      </c>
    </row>
    <row r="25" spans="14:15" ht="15.75" thickBot="1" x14ac:dyDescent="0.3">
      <c r="N25" s="9" t="s">
        <v>93</v>
      </c>
      <c r="O25" s="10">
        <v>6894.8</v>
      </c>
    </row>
    <row r="26" spans="14:15" ht="15.75" thickBot="1" x14ac:dyDescent="0.3"/>
    <row r="27" spans="14:15" ht="15.75" thickBot="1" x14ac:dyDescent="0.3">
      <c r="N27" s="1" t="s">
        <v>0</v>
      </c>
    </row>
    <row r="28" spans="14:15" x14ac:dyDescent="0.25">
      <c r="N28" s="2" t="s">
        <v>1</v>
      </c>
    </row>
    <row r="29" spans="14:15" x14ac:dyDescent="0.25">
      <c r="N29" s="3" t="s">
        <v>2</v>
      </c>
    </row>
    <row r="30" spans="14:15" ht="15.75" thickBot="1" x14ac:dyDescent="0.3">
      <c r="N30" s="4" t="s">
        <v>3</v>
      </c>
    </row>
  </sheetData>
  <mergeCells count="5">
    <mergeCell ref="A1:L1"/>
    <mergeCell ref="N2:O2"/>
    <mergeCell ref="A5:I5"/>
    <mergeCell ref="A9:I9"/>
    <mergeCell ref="N11:O1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2FEDEC-9212-4EA8-BF28-A2282CC1BD39}">
  <dimension ref="A1:O29"/>
  <sheetViews>
    <sheetView workbookViewId="0">
      <selection activeCell="H14" sqref="H14"/>
    </sheetView>
  </sheetViews>
  <sheetFormatPr defaultRowHeight="15" x14ac:dyDescent="0.25"/>
  <cols>
    <col min="1" max="1" width="30.28515625" bestFit="1" customWidth="1"/>
    <col min="2" max="2" width="22.85546875" bestFit="1" customWidth="1"/>
    <col min="3" max="3" width="22.42578125" bestFit="1" customWidth="1"/>
    <col min="4" max="4" width="19" bestFit="1" customWidth="1"/>
    <col min="5" max="5" width="18.7109375" bestFit="1" customWidth="1"/>
    <col min="6" max="6" width="26.28515625" bestFit="1" customWidth="1"/>
    <col min="7" max="7" width="29" bestFit="1" customWidth="1"/>
    <col min="8" max="8" width="27.7109375" bestFit="1" customWidth="1"/>
    <col min="9" max="9" width="31.42578125" bestFit="1" customWidth="1"/>
    <col min="10" max="10" width="23.85546875" bestFit="1" customWidth="1"/>
    <col min="11" max="11" width="14.28515625" bestFit="1" customWidth="1"/>
    <col min="12" max="12" width="15.28515625" bestFit="1" customWidth="1"/>
    <col min="14" max="14" width="24.42578125" bestFit="1" customWidth="1"/>
    <col min="15" max="15" width="12.5703125" bestFit="1" customWidth="1"/>
  </cols>
  <sheetData>
    <row r="1" spans="1:15" ht="15.75" thickBot="1" x14ac:dyDescent="0.3">
      <c r="A1" s="81" t="s">
        <v>94</v>
      </c>
      <c r="B1" s="82"/>
      <c r="C1" s="82"/>
      <c r="D1" s="82"/>
      <c r="E1" s="82"/>
      <c r="F1" s="82"/>
      <c r="G1" s="82"/>
      <c r="H1" s="82"/>
      <c r="I1" s="82"/>
      <c r="J1" s="82"/>
      <c r="K1" s="82"/>
      <c r="L1" s="83"/>
    </row>
    <row r="2" spans="1:15" ht="15.75" thickBot="1" x14ac:dyDescent="0.3">
      <c r="A2" s="37" t="s">
        <v>95</v>
      </c>
      <c r="B2" s="38" t="s">
        <v>96</v>
      </c>
      <c r="C2" s="38" t="s">
        <v>97</v>
      </c>
      <c r="D2" s="38" t="s">
        <v>98</v>
      </c>
      <c r="E2" s="38" t="s">
        <v>99</v>
      </c>
      <c r="F2" s="38" t="s">
        <v>100</v>
      </c>
      <c r="G2" s="38" t="s">
        <v>101</v>
      </c>
      <c r="H2" s="38" t="s">
        <v>102</v>
      </c>
      <c r="I2" s="38" t="s">
        <v>103</v>
      </c>
      <c r="J2" s="38" t="s">
        <v>104</v>
      </c>
      <c r="K2" s="38" t="s">
        <v>105</v>
      </c>
      <c r="L2" s="39" t="s">
        <v>106</v>
      </c>
      <c r="N2" s="84" t="s">
        <v>78</v>
      </c>
      <c r="O2" s="85"/>
    </row>
    <row r="3" spans="1:15" ht="15.75" thickBot="1" x14ac:dyDescent="0.3">
      <c r="A3" s="12" t="s">
        <v>107</v>
      </c>
      <c r="B3" s="63">
        <v>1</v>
      </c>
      <c r="C3" s="64">
        <f>B3*O21</f>
        <v>2.5399999999999999E-2</v>
      </c>
      <c r="D3" s="63">
        <v>1.25</v>
      </c>
      <c r="E3" s="63">
        <v>5</v>
      </c>
      <c r="F3" s="64">
        <f>E3*O22</f>
        <v>1.524</v>
      </c>
      <c r="G3" s="63" t="s">
        <v>108</v>
      </c>
      <c r="H3" s="64">
        <f>O8/(PI()*C3^2/4)</f>
        <v>0.24918247997348297</v>
      </c>
      <c r="I3" s="64">
        <f>H3*C3/O6</f>
        <v>2637.1812463860283</v>
      </c>
      <c r="J3" s="65">
        <f>0.002/1000/C3</f>
        <v>7.8740157480314957E-5</v>
      </c>
      <c r="K3" s="64">
        <f>16/I3</f>
        <v>6.0670839449985733E-3</v>
      </c>
      <c r="L3" s="66">
        <f>K3*4*F3/C3</f>
        <v>1.4561001467996577</v>
      </c>
      <c r="N3" s="59" t="s">
        <v>18</v>
      </c>
      <c r="O3" s="6">
        <v>298</v>
      </c>
    </row>
    <row r="4" spans="1:15" ht="15.75" thickBot="1" x14ac:dyDescent="0.3">
      <c r="N4" s="20" t="s">
        <v>79</v>
      </c>
      <c r="O4" s="8">
        <v>1000</v>
      </c>
    </row>
    <row r="5" spans="1:15" ht="15.75" thickBot="1" x14ac:dyDescent="0.3">
      <c r="A5" s="81" t="s">
        <v>109</v>
      </c>
      <c r="B5" s="82"/>
      <c r="C5" s="82"/>
      <c r="D5" s="82"/>
      <c r="E5" s="82"/>
      <c r="F5" s="82"/>
      <c r="G5" s="82"/>
      <c r="H5" s="82"/>
      <c r="I5" s="83"/>
      <c r="N5" s="20" t="s">
        <v>80</v>
      </c>
      <c r="O5" s="60">
        <f>2.4*10^-3</f>
        <v>2.3999999999999998E-3</v>
      </c>
    </row>
    <row r="6" spans="1:15" ht="15.75" thickBot="1" x14ac:dyDescent="0.3">
      <c r="A6" s="12" t="s">
        <v>16</v>
      </c>
      <c r="B6" s="13" t="s">
        <v>110</v>
      </c>
      <c r="C6" s="13" t="s">
        <v>111</v>
      </c>
      <c r="D6" s="13" t="s">
        <v>112</v>
      </c>
      <c r="E6" s="13" t="s">
        <v>113</v>
      </c>
      <c r="F6" s="13" t="s">
        <v>114</v>
      </c>
      <c r="G6" s="13" t="s">
        <v>115</v>
      </c>
      <c r="H6" s="13" t="s">
        <v>116</v>
      </c>
      <c r="I6" s="14" t="s">
        <v>117</v>
      </c>
      <c r="N6" s="20" t="s">
        <v>81</v>
      </c>
      <c r="O6" s="60">
        <f>O5/O4</f>
        <v>2.3999999999999999E-6</v>
      </c>
    </row>
    <row r="7" spans="1:15" ht="15.75" thickBot="1" x14ac:dyDescent="0.3">
      <c r="A7" s="30" t="s">
        <v>118</v>
      </c>
      <c r="B7" s="31">
        <v>10</v>
      </c>
      <c r="C7" s="32">
        <f>B7*O24</f>
        <v>68948</v>
      </c>
      <c r="D7" s="32">
        <f>C7/O4/O20</f>
        <v>7.0355102040816311</v>
      </c>
      <c r="E7" s="31">
        <v>0</v>
      </c>
      <c r="F7" s="32">
        <f>E7*O22</f>
        <v>0</v>
      </c>
      <c r="G7" s="32">
        <f>L3/C3^4</f>
        <v>3498294.5958505683</v>
      </c>
      <c r="H7" s="67">
        <f>G7*8*O8^2/(O20*PI()^2)</f>
        <v>4.6128590218456108E-3</v>
      </c>
      <c r="I7" s="68">
        <f>H7+F7+D7</f>
        <v>7.0401230631034766</v>
      </c>
      <c r="N7" s="20" t="s">
        <v>82</v>
      </c>
      <c r="O7" s="8">
        <v>2</v>
      </c>
    </row>
    <row r="8" spans="1:15" ht="15.75" thickBot="1" x14ac:dyDescent="0.3">
      <c r="N8" s="20" t="s">
        <v>83</v>
      </c>
      <c r="O8" s="60">
        <f>O7/O15*O17/O19</f>
        <v>1.2626262626262626E-4</v>
      </c>
    </row>
    <row r="9" spans="1:15" ht="15.75" thickBot="1" x14ac:dyDescent="0.3">
      <c r="A9" s="81" t="s">
        <v>119</v>
      </c>
      <c r="B9" s="82"/>
      <c r="C9" s="82"/>
      <c r="D9" s="82"/>
      <c r="E9" s="82"/>
      <c r="F9" s="82"/>
      <c r="G9" s="82"/>
      <c r="H9" s="82"/>
      <c r="I9" s="83"/>
      <c r="N9" s="44" t="s">
        <v>84</v>
      </c>
      <c r="O9" s="10">
        <f>O8*O4</f>
        <v>0.12626262626262627</v>
      </c>
    </row>
    <row r="10" spans="1:15" ht="15.75" thickBot="1" x14ac:dyDescent="0.3">
      <c r="A10" s="69" t="s">
        <v>120</v>
      </c>
      <c r="B10" s="70" t="s">
        <v>121</v>
      </c>
      <c r="C10" s="70" t="s">
        <v>122</v>
      </c>
      <c r="D10" s="70" t="s">
        <v>123</v>
      </c>
      <c r="E10" s="70" t="s">
        <v>124</v>
      </c>
      <c r="F10" s="70" t="s">
        <v>125</v>
      </c>
      <c r="G10" s="70" t="s">
        <v>126</v>
      </c>
      <c r="H10" s="70" t="s">
        <v>127</v>
      </c>
      <c r="I10" s="71" t="s">
        <v>128</v>
      </c>
    </row>
    <row r="11" spans="1:15" ht="15.75" thickBot="1" x14ac:dyDescent="0.3">
      <c r="A11" s="72" t="s">
        <v>41</v>
      </c>
      <c r="B11" s="42">
        <v>0.7</v>
      </c>
      <c r="C11" s="41">
        <f>I7*O20*O4*O8/B11</f>
        <v>12.44466198023342</v>
      </c>
      <c r="D11" s="73" t="s">
        <v>129</v>
      </c>
      <c r="E11" s="73" t="s">
        <v>129</v>
      </c>
      <c r="F11" s="42">
        <f>O9</f>
        <v>0.12626262626262627</v>
      </c>
      <c r="G11" s="74">
        <f>C11/F11</f>
        <v>98.561722883448681</v>
      </c>
      <c r="H11" s="75">
        <f>C11/1000/F11/3600</f>
        <v>2.7378256356513523E-5</v>
      </c>
      <c r="I11" s="76">
        <f>H11*O23</f>
        <v>6.4297420231206005E-3</v>
      </c>
      <c r="N11" s="86" t="s">
        <v>85</v>
      </c>
      <c r="O11" s="87"/>
    </row>
    <row r="12" spans="1:15" ht="15.75" thickBot="1" x14ac:dyDescent="0.3">
      <c r="A12" s="9" t="s">
        <v>130</v>
      </c>
      <c r="B12" s="46">
        <v>0.7</v>
      </c>
      <c r="C12" s="46">
        <f>240*10/B12*0.75</f>
        <v>2571.4285714285716</v>
      </c>
      <c r="D12" s="46">
        <v>72</v>
      </c>
      <c r="E12" s="47">
        <f>D12*3600</f>
        <v>259200</v>
      </c>
      <c r="F12" s="77">
        <f>O14/O15*O17*O4/E12</f>
        <v>9.060512532734756E-4</v>
      </c>
      <c r="G12" s="78">
        <f>C12/F12</f>
        <v>2838060.8294930873</v>
      </c>
      <c r="H12" s="77">
        <f>C12/1000/F12/3600</f>
        <v>0.7883502304147465</v>
      </c>
      <c r="I12" s="79">
        <f>H12*O23</f>
        <v>185.14285714285714</v>
      </c>
      <c r="N12" s="5" t="s">
        <v>5</v>
      </c>
      <c r="O12" s="6">
        <v>8.3000000000000004E-2</v>
      </c>
    </row>
    <row r="13" spans="1:15" x14ac:dyDescent="0.25">
      <c r="N13" s="7" t="s">
        <v>6</v>
      </c>
      <c r="O13" s="8">
        <v>14.5</v>
      </c>
    </row>
    <row r="14" spans="1:15" x14ac:dyDescent="0.25">
      <c r="I14" s="80"/>
      <c r="N14" s="7" t="s">
        <v>12</v>
      </c>
      <c r="O14" s="8">
        <v>62</v>
      </c>
    </row>
    <row r="15" spans="1:15" x14ac:dyDescent="0.25">
      <c r="N15" s="7" t="s">
        <v>7</v>
      </c>
      <c r="O15" s="8">
        <v>0.26400000000000001</v>
      </c>
    </row>
    <row r="16" spans="1:15" x14ac:dyDescent="0.25">
      <c r="N16" s="7" t="s">
        <v>8</v>
      </c>
      <c r="O16" s="8">
        <f>O12*O13*O15</f>
        <v>0.31772400000000001</v>
      </c>
    </row>
    <row r="17" spans="14:15" x14ac:dyDescent="0.25">
      <c r="N17" s="7" t="s">
        <v>87</v>
      </c>
      <c r="O17" s="60">
        <v>1E-3</v>
      </c>
    </row>
    <row r="18" spans="14:15" x14ac:dyDescent="0.25">
      <c r="N18" s="7" t="s">
        <v>14</v>
      </c>
      <c r="O18" s="8">
        <v>44.01</v>
      </c>
    </row>
    <row r="19" spans="14:15" x14ac:dyDescent="0.25">
      <c r="N19" s="7" t="s">
        <v>88</v>
      </c>
      <c r="O19" s="8">
        <v>60</v>
      </c>
    </row>
    <row r="20" spans="14:15" x14ac:dyDescent="0.25">
      <c r="N20" s="7" t="s">
        <v>89</v>
      </c>
      <c r="O20" s="8">
        <v>9.8000000000000007</v>
      </c>
    </row>
    <row r="21" spans="14:15" x14ac:dyDescent="0.25">
      <c r="N21" s="7" t="s">
        <v>90</v>
      </c>
      <c r="O21" s="8">
        <v>2.5399999999999999E-2</v>
      </c>
    </row>
    <row r="22" spans="14:15" x14ac:dyDescent="0.25">
      <c r="N22" s="7" t="s">
        <v>91</v>
      </c>
      <c r="O22" s="8">
        <v>0.30480000000000002</v>
      </c>
    </row>
    <row r="23" spans="14:15" x14ac:dyDescent="0.25">
      <c r="N23" s="61" t="s">
        <v>92</v>
      </c>
      <c r="O23" s="62">
        <f>O14/O15*O17*O4</f>
        <v>234.84848484848487</v>
      </c>
    </row>
    <row r="24" spans="14:15" ht="15.75" thickBot="1" x14ac:dyDescent="0.3">
      <c r="N24" s="9" t="s">
        <v>93</v>
      </c>
      <c r="O24" s="10">
        <v>6894.8</v>
      </c>
    </row>
    <row r="25" spans="14:15" ht="15.75" thickBot="1" x14ac:dyDescent="0.3"/>
    <row r="26" spans="14:15" ht="15.75" thickBot="1" x14ac:dyDescent="0.3">
      <c r="N26" s="1" t="s">
        <v>0</v>
      </c>
    </row>
    <row r="27" spans="14:15" x14ac:dyDescent="0.25">
      <c r="N27" s="2" t="s">
        <v>1</v>
      </c>
    </row>
    <row r="28" spans="14:15" x14ac:dyDescent="0.25">
      <c r="N28" s="3" t="s">
        <v>2</v>
      </c>
    </row>
    <row r="29" spans="14:15" ht="15.75" thickBot="1" x14ac:dyDescent="0.3">
      <c r="N29" s="4" t="s">
        <v>3</v>
      </c>
    </row>
  </sheetData>
  <mergeCells count="5">
    <mergeCell ref="A1:L1"/>
    <mergeCell ref="N2:O2"/>
    <mergeCell ref="A5:I5"/>
    <mergeCell ref="A9:I9"/>
    <mergeCell ref="N11:O1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FB254-17AF-4B93-B9BC-82633089F800}">
  <dimension ref="A1:O29"/>
  <sheetViews>
    <sheetView workbookViewId="0">
      <selection activeCell="I14" sqref="I14"/>
    </sheetView>
  </sheetViews>
  <sheetFormatPr defaultRowHeight="15" x14ac:dyDescent="0.25"/>
  <cols>
    <col min="1" max="1" width="30.28515625" bestFit="1" customWidth="1"/>
    <col min="2" max="2" width="22.85546875" bestFit="1" customWidth="1"/>
    <col min="3" max="3" width="22.42578125" bestFit="1" customWidth="1"/>
    <col min="4" max="4" width="19" bestFit="1" customWidth="1"/>
    <col min="5" max="5" width="18.7109375" bestFit="1" customWidth="1"/>
    <col min="6" max="6" width="26.28515625" bestFit="1" customWidth="1"/>
    <col min="7" max="7" width="29" bestFit="1" customWidth="1"/>
    <col min="8" max="8" width="27.7109375" bestFit="1" customWidth="1"/>
    <col min="9" max="9" width="31.42578125" bestFit="1" customWidth="1"/>
    <col min="10" max="10" width="23.85546875" bestFit="1" customWidth="1"/>
    <col min="11" max="11" width="14.28515625" bestFit="1" customWidth="1"/>
    <col min="12" max="12" width="15.28515625" bestFit="1" customWidth="1"/>
    <col min="14" max="14" width="24.42578125" bestFit="1" customWidth="1"/>
    <col min="15" max="15" width="12.5703125" bestFit="1" customWidth="1"/>
  </cols>
  <sheetData>
    <row r="1" spans="1:15" ht="15.75" thickBot="1" x14ac:dyDescent="0.3">
      <c r="A1" s="81" t="s">
        <v>94</v>
      </c>
      <c r="B1" s="82"/>
      <c r="C1" s="82"/>
      <c r="D1" s="82"/>
      <c r="E1" s="82"/>
      <c r="F1" s="82"/>
      <c r="G1" s="82"/>
      <c r="H1" s="82"/>
      <c r="I1" s="82"/>
      <c r="J1" s="82"/>
      <c r="K1" s="82"/>
      <c r="L1" s="83"/>
    </row>
    <row r="2" spans="1:15" ht="15.75" thickBot="1" x14ac:dyDescent="0.3">
      <c r="A2" s="37" t="s">
        <v>95</v>
      </c>
      <c r="B2" s="38" t="s">
        <v>96</v>
      </c>
      <c r="C2" s="38" t="s">
        <v>97</v>
      </c>
      <c r="D2" s="38" t="s">
        <v>98</v>
      </c>
      <c r="E2" s="38" t="s">
        <v>99</v>
      </c>
      <c r="F2" s="38" t="s">
        <v>100</v>
      </c>
      <c r="G2" s="38" t="s">
        <v>101</v>
      </c>
      <c r="H2" s="38" t="s">
        <v>102</v>
      </c>
      <c r="I2" s="38" t="s">
        <v>103</v>
      </c>
      <c r="J2" s="38" t="s">
        <v>104</v>
      </c>
      <c r="K2" s="38" t="s">
        <v>105</v>
      </c>
      <c r="L2" s="39" t="s">
        <v>106</v>
      </c>
      <c r="N2" s="84" t="s">
        <v>78</v>
      </c>
      <c r="O2" s="85"/>
    </row>
    <row r="3" spans="1:15" ht="15.75" thickBot="1" x14ac:dyDescent="0.3">
      <c r="A3" s="12" t="s">
        <v>107</v>
      </c>
      <c r="B3" s="63">
        <v>1</v>
      </c>
      <c r="C3" s="64">
        <f>B3*O21</f>
        <v>2.5399999999999999E-2</v>
      </c>
      <c r="D3" s="63">
        <v>1.25</v>
      </c>
      <c r="E3" s="63">
        <v>5</v>
      </c>
      <c r="F3" s="64">
        <f>E3*O22</f>
        <v>1.524</v>
      </c>
      <c r="G3" s="63" t="s">
        <v>108</v>
      </c>
      <c r="H3" s="64">
        <f>O8/(PI()*C3^2/4)</f>
        <v>0.24918247997348297</v>
      </c>
      <c r="I3" s="64">
        <f>H3*C3/O6</f>
        <v>2637.1812463860283</v>
      </c>
      <c r="J3" s="65">
        <f>0.002/1000/C3</f>
        <v>7.8740157480314957E-5</v>
      </c>
      <c r="K3" s="64">
        <f>16/I3</f>
        <v>6.0670839449985733E-3</v>
      </c>
      <c r="L3" s="66">
        <f>K3*4*F3/C3</f>
        <v>1.4561001467996577</v>
      </c>
      <c r="N3" s="59" t="s">
        <v>18</v>
      </c>
      <c r="O3" s="6">
        <v>298</v>
      </c>
    </row>
    <row r="4" spans="1:15" ht="15.75" thickBot="1" x14ac:dyDescent="0.3">
      <c r="N4" s="20" t="s">
        <v>79</v>
      </c>
      <c r="O4" s="8">
        <v>1000</v>
      </c>
    </row>
    <row r="5" spans="1:15" ht="15.75" thickBot="1" x14ac:dyDescent="0.3">
      <c r="A5" s="81" t="s">
        <v>109</v>
      </c>
      <c r="B5" s="82"/>
      <c r="C5" s="82"/>
      <c r="D5" s="82"/>
      <c r="E5" s="82"/>
      <c r="F5" s="82"/>
      <c r="G5" s="82"/>
      <c r="H5" s="82"/>
      <c r="I5" s="83"/>
      <c r="N5" s="20" t="s">
        <v>80</v>
      </c>
      <c r="O5" s="60">
        <f>2.4*10^-3</f>
        <v>2.3999999999999998E-3</v>
      </c>
    </row>
    <row r="6" spans="1:15" ht="15.75" thickBot="1" x14ac:dyDescent="0.3">
      <c r="A6" s="12" t="s">
        <v>16</v>
      </c>
      <c r="B6" s="13" t="s">
        <v>110</v>
      </c>
      <c r="C6" s="13" t="s">
        <v>111</v>
      </c>
      <c r="D6" s="13" t="s">
        <v>112</v>
      </c>
      <c r="E6" s="13" t="s">
        <v>113</v>
      </c>
      <c r="F6" s="13" t="s">
        <v>114</v>
      </c>
      <c r="G6" s="13" t="s">
        <v>115</v>
      </c>
      <c r="H6" s="13" t="s">
        <v>116</v>
      </c>
      <c r="I6" s="14" t="s">
        <v>117</v>
      </c>
      <c r="N6" s="20" t="s">
        <v>81</v>
      </c>
      <c r="O6" s="60">
        <f>O5/O4</f>
        <v>2.3999999999999999E-6</v>
      </c>
    </row>
    <row r="7" spans="1:15" ht="15.75" thickBot="1" x14ac:dyDescent="0.3">
      <c r="A7" s="30" t="s">
        <v>118</v>
      </c>
      <c r="B7" s="31">
        <v>10</v>
      </c>
      <c r="C7" s="32">
        <f>B7*O24</f>
        <v>68948</v>
      </c>
      <c r="D7" s="32">
        <f>C7/O4/O20</f>
        <v>7.0355102040816311</v>
      </c>
      <c r="E7" s="31">
        <v>0</v>
      </c>
      <c r="F7" s="32">
        <f>E7*O22</f>
        <v>0</v>
      </c>
      <c r="G7" s="32">
        <f>L3/C3^4</f>
        <v>3498294.5958505683</v>
      </c>
      <c r="H7" s="67">
        <f>G7*8*O8^2/(O20*PI()^2)</f>
        <v>4.6128590218456108E-3</v>
      </c>
      <c r="I7" s="68">
        <f>H7+F7+D7</f>
        <v>7.0401230631034766</v>
      </c>
      <c r="N7" s="20" t="s">
        <v>82</v>
      </c>
      <c r="O7" s="8">
        <v>2</v>
      </c>
    </row>
    <row r="8" spans="1:15" ht="15.75" thickBot="1" x14ac:dyDescent="0.3">
      <c r="N8" s="20" t="s">
        <v>83</v>
      </c>
      <c r="O8" s="60">
        <f>O7/O15*O17/O19</f>
        <v>1.2626262626262626E-4</v>
      </c>
    </row>
    <row r="9" spans="1:15" ht="15.75" thickBot="1" x14ac:dyDescent="0.3">
      <c r="A9" s="81" t="s">
        <v>119</v>
      </c>
      <c r="B9" s="82"/>
      <c r="C9" s="82"/>
      <c r="D9" s="82"/>
      <c r="E9" s="82"/>
      <c r="F9" s="82"/>
      <c r="G9" s="82"/>
      <c r="H9" s="82"/>
      <c r="I9" s="83"/>
      <c r="N9" s="44" t="s">
        <v>84</v>
      </c>
      <c r="O9" s="10">
        <f>O8*O4</f>
        <v>0.12626262626262627</v>
      </c>
    </row>
    <row r="10" spans="1:15" ht="15.75" thickBot="1" x14ac:dyDescent="0.3">
      <c r="A10" s="69" t="s">
        <v>120</v>
      </c>
      <c r="B10" s="70" t="s">
        <v>121</v>
      </c>
      <c r="C10" s="70" t="s">
        <v>122</v>
      </c>
      <c r="D10" s="70" t="s">
        <v>123</v>
      </c>
      <c r="E10" s="70" t="s">
        <v>124</v>
      </c>
      <c r="F10" s="70" t="s">
        <v>125</v>
      </c>
      <c r="G10" s="70" t="s">
        <v>126</v>
      </c>
      <c r="H10" s="70" t="s">
        <v>127</v>
      </c>
      <c r="I10" s="71" t="s">
        <v>128</v>
      </c>
    </row>
    <row r="11" spans="1:15" ht="15.75" thickBot="1" x14ac:dyDescent="0.3">
      <c r="A11" s="72" t="s">
        <v>41</v>
      </c>
      <c r="B11" s="42">
        <v>0.7</v>
      </c>
      <c r="C11" s="41">
        <f>I7*O20*O4*O8/B11</f>
        <v>12.44466198023342</v>
      </c>
      <c r="D11" s="73" t="s">
        <v>129</v>
      </c>
      <c r="E11" s="73" t="s">
        <v>129</v>
      </c>
      <c r="F11" s="42">
        <f>O9</f>
        <v>0.12626262626262627</v>
      </c>
      <c r="G11" s="74">
        <f>C11/F11</f>
        <v>98.561722883448681</v>
      </c>
      <c r="H11" s="75">
        <f>C11/1000/F11/3600</f>
        <v>2.7378256356513523E-5</v>
      </c>
      <c r="I11" s="76">
        <f>H11*O23</f>
        <v>6.4297420231206005E-3</v>
      </c>
      <c r="N11" s="86" t="s">
        <v>85</v>
      </c>
      <c r="O11" s="87"/>
    </row>
    <row r="12" spans="1:15" ht="15.75" thickBot="1" x14ac:dyDescent="0.3">
      <c r="A12" s="9" t="s">
        <v>130</v>
      </c>
      <c r="B12" s="46">
        <v>0.7</v>
      </c>
      <c r="C12" s="46">
        <f>240*10/B12*0.5</f>
        <v>1714.2857142857144</v>
      </c>
      <c r="D12" s="46">
        <v>72</v>
      </c>
      <c r="E12" s="47">
        <f>D12*3600</f>
        <v>259200</v>
      </c>
      <c r="F12" s="77">
        <f>O14/O15*O17*O4/E12</f>
        <v>9.060512532734756E-4</v>
      </c>
      <c r="G12" s="78">
        <f>C12/F12</f>
        <v>1892040.5529953917</v>
      </c>
      <c r="H12" s="77">
        <f>C12/1000/F12/3600</f>
        <v>0.5255668202764977</v>
      </c>
      <c r="I12" s="79">
        <f>H12*O23</f>
        <v>123.42857142857144</v>
      </c>
      <c r="N12" s="5" t="s">
        <v>5</v>
      </c>
      <c r="O12" s="6">
        <v>8.3000000000000004E-2</v>
      </c>
    </row>
    <row r="13" spans="1:15" x14ac:dyDescent="0.25">
      <c r="N13" s="7" t="s">
        <v>6</v>
      </c>
      <c r="O13" s="8">
        <v>14.5</v>
      </c>
    </row>
    <row r="14" spans="1:15" x14ac:dyDescent="0.25">
      <c r="I14" s="80"/>
      <c r="N14" s="7" t="s">
        <v>12</v>
      </c>
      <c r="O14" s="8">
        <v>62</v>
      </c>
    </row>
    <row r="15" spans="1:15" x14ac:dyDescent="0.25">
      <c r="N15" s="7" t="s">
        <v>7</v>
      </c>
      <c r="O15" s="8">
        <v>0.26400000000000001</v>
      </c>
    </row>
    <row r="16" spans="1:15" x14ac:dyDescent="0.25">
      <c r="N16" s="7" t="s">
        <v>8</v>
      </c>
      <c r="O16" s="8">
        <f>O12*O13*O15</f>
        <v>0.31772400000000001</v>
      </c>
    </row>
    <row r="17" spans="14:15" x14ac:dyDescent="0.25">
      <c r="N17" s="7" t="s">
        <v>87</v>
      </c>
      <c r="O17" s="60">
        <v>1E-3</v>
      </c>
    </row>
    <row r="18" spans="14:15" x14ac:dyDescent="0.25">
      <c r="N18" s="7" t="s">
        <v>14</v>
      </c>
      <c r="O18" s="8">
        <v>44.01</v>
      </c>
    </row>
    <row r="19" spans="14:15" x14ac:dyDescent="0.25">
      <c r="N19" s="7" t="s">
        <v>88</v>
      </c>
      <c r="O19" s="8">
        <v>60</v>
      </c>
    </row>
    <row r="20" spans="14:15" x14ac:dyDescent="0.25">
      <c r="N20" s="7" t="s">
        <v>89</v>
      </c>
      <c r="O20" s="8">
        <v>9.8000000000000007</v>
      </c>
    </row>
    <row r="21" spans="14:15" x14ac:dyDescent="0.25">
      <c r="N21" s="7" t="s">
        <v>90</v>
      </c>
      <c r="O21" s="8">
        <v>2.5399999999999999E-2</v>
      </c>
    </row>
    <row r="22" spans="14:15" x14ac:dyDescent="0.25">
      <c r="N22" s="7" t="s">
        <v>91</v>
      </c>
      <c r="O22" s="8">
        <v>0.30480000000000002</v>
      </c>
    </row>
    <row r="23" spans="14:15" x14ac:dyDescent="0.25">
      <c r="N23" s="61" t="s">
        <v>92</v>
      </c>
      <c r="O23" s="62">
        <f>O14/O15*O17*O4</f>
        <v>234.84848484848487</v>
      </c>
    </row>
    <row r="24" spans="14:15" ht="15.75" thickBot="1" x14ac:dyDescent="0.3">
      <c r="N24" s="9" t="s">
        <v>93</v>
      </c>
      <c r="O24" s="10">
        <v>6894.8</v>
      </c>
    </row>
    <row r="25" spans="14:15" ht="15.75" thickBot="1" x14ac:dyDescent="0.3"/>
    <row r="26" spans="14:15" ht="15.75" thickBot="1" x14ac:dyDescent="0.3">
      <c r="N26" s="1" t="s">
        <v>0</v>
      </c>
    </row>
    <row r="27" spans="14:15" x14ac:dyDescent="0.25">
      <c r="N27" s="2" t="s">
        <v>1</v>
      </c>
    </row>
    <row r="28" spans="14:15" x14ac:dyDescent="0.25">
      <c r="N28" s="3" t="s">
        <v>2</v>
      </c>
    </row>
    <row r="29" spans="14:15" ht="15.75" thickBot="1" x14ac:dyDescent="0.3">
      <c r="N29" s="4" t="s">
        <v>3</v>
      </c>
    </row>
  </sheetData>
  <mergeCells count="5">
    <mergeCell ref="A1:L1"/>
    <mergeCell ref="N2:O2"/>
    <mergeCell ref="A5:I5"/>
    <mergeCell ref="A9:I9"/>
    <mergeCell ref="N11:O1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D6A5C6-0571-4BB0-AA7A-530DD1CB92AD}">
  <dimension ref="A1:O29"/>
  <sheetViews>
    <sheetView workbookViewId="0">
      <selection activeCell="E26" sqref="E26"/>
    </sheetView>
  </sheetViews>
  <sheetFormatPr defaultRowHeight="15" x14ac:dyDescent="0.25"/>
  <cols>
    <col min="1" max="1" width="30.28515625" bestFit="1" customWidth="1"/>
    <col min="2" max="2" width="22.85546875" bestFit="1" customWidth="1"/>
    <col min="3" max="3" width="22.42578125" bestFit="1" customWidth="1"/>
    <col min="4" max="4" width="19" bestFit="1" customWidth="1"/>
    <col min="5" max="5" width="18.7109375" bestFit="1" customWidth="1"/>
    <col min="6" max="6" width="26.28515625" bestFit="1" customWidth="1"/>
    <col min="7" max="7" width="29" bestFit="1" customWidth="1"/>
    <col min="8" max="8" width="27.7109375" bestFit="1" customWidth="1"/>
    <col min="9" max="9" width="31.42578125" bestFit="1" customWidth="1"/>
    <col min="10" max="10" width="23.85546875" bestFit="1" customWidth="1"/>
    <col min="11" max="11" width="14.28515625" bestFit="1" customWidth="1"/>
    <col min="12" max="12" width="15.28515625" bestFit="1" customWidth="1"/>
    <col min="14" max="14" width="24.42578125" bestFit="1" customWidth="1"/>
    <col min="15" max="15" width="12.5703125" bestFit="1" customWidth="1"/>
  </cols>
  <sheetData>
    <row r="1" spans="1:15" ht="15.75" thickBot="1" x14ac:dyDescent="0.3">
      <c r="A1" s="81" t="s">
        <v>94</v>
      </c>
      <c r="B1" s="82"/>
      <c r="C1" s="82"/>
      <c r="D1" s="82"/>
      <c r="E1" s="82"/>
      <c r="F1" s="82"/>
      <c r="G1" s="82"/>
      <c r="H1" s="82"/>
      <c r="I1" s="82"/>
      <c r="J1" s="82"/>
      <c r="K1" s="82"/>
      <c r="L1" s="83"/>
    </row>
    <row r="2" spans="1:15" ht="15.75" thickBot="1" x14ac:dyDescent="0.3">
      <c r="A2" s="37" t="s">
        <v>95</v>
      </c>
      <c r="B2" s="38" t="s">
        <v>96</v>
      </c>
      <c r="C2" s="38" t="s">
        <v>97</v>
      </c>
      <c r="D2" s="38" t="s">
        <v>98</v>
      </c>
      <c r="E2" s="38" t="s">
        <v>99</v>
      </c>
      <c r="F2" s="38" t="s">
        <v>100</v>
      </c>
      <c r="G2" s="38" t="s">
        <v>101</v>
      </c>
      <c r="H2" s="38" t="s">
        <v>102</v>
      </c>
      <c r="I2" s="38" t="s">
        <v>103</v>
      </c>
      <c r="J2" s="38" t="s">
        <v>104</v>
      </c>
      <c r="K2" s="38" t="s">
        <v>105</v>
      </c>
      <c r="L2" s="39" t="s">
        <v>106</v>
      </c>
      <c r="N2" s="84" t="s">
        <v>78</v>
      </c>
      <c r="O2" s="85"/>
    </row>
    <row r="3" spans="1:15" ht="15.75" thickBot="1" x14ac:dyDescent="0.3">
      <c r="A3" s="12" t="s">
        <v>107</v>
      </c>
      <c r="B3" s="63">
        <v>1</v>
      </c>
      <c r="C3" s="64">
        <f>B3*O21</f>
        <v>2.5399999999999999E-2</v>
      </c>
      <c r="D3" s="63">
        <v>1.25</v>
      </c>
      <c r="E3" s="63">
        <v>5</v>
      </c>
      <c r="F3" s="64">
        <f>E3*O22</f>
        <v>1.524</v>
      </c>
      <c r="G3" s="63" t="s">
        <v>108</v>
      </c>
      <c r="H3" s="64">
        <f>O8/(PI()*C3^2/4)</f>
        <v>0.24918247997348297</v>
      </c>
      <c r="I3" s="64">
        <f>H3*C3/O6</f>
        <v>2637.1812463860283</v>
      </c>
      <c r="J3" s="65">
        <f>0.002/1000/C3</f>
        <v>7.8740157480314957E-5</v>
      </c>
      <c r="K3" s="64">
        <f>16/I3</f>
        <v>6.0670839449985733E-3</v>
      </c>
      <c r="L3" s="66">
        <f>K3*4*F3/C3</f>
        <v>1.4561001467996577</v>
      </c>
      <c r="N3" s="59" t="s">
        <v>18</v>
      </c>
      <c r="O3" s="6">
        <v>298</v>
      </c>
    </row>
    <row r="4" spans="1:15" ht="15.75" thickBot="1" x14ac:dyDescent="0.3">
      <c r="N4" s="20" t="s">
        <v>79</v>
      </c>
      <c r="O4" s="8">
        <v>1000</v>
      </c>
    </row>
    <row r="5" spans="1:15" ht="15.75" thickBot="1" x14ac:dyDescent="0.3">
      <c r="A5" s="81" t="s">
        <v>109</v>
      </c>
      <c r="B5" s="82"/>
      <c r="C5" s="82"/>
      <c r="D5" s="82"/>
      <c r="E5" s="82"/>
      <c r="F5" s="82"/>
      <c r="G5" s="82"/>
      <c r="H5" s="82"/>
      <c r="I5" s="83"/>
      <c r="N5" s="20" t="s">
        <v>80</v>
      </c>
      <c r="O5" s="60">
        <f>2.4*10^-3</f>
        <v>2.3999999999999998E-3</v>
      </c>
    </row>
    <row r="6" spans="1:15" ht="15.75" thickBot="1" x14ac:dyDescent="0.3">
      <c r="A6" s="12" t="s">
        <v>16</v>
      </c>
      <c r="B6" s="13" t="s">
        <v>110</v>
      </c>
      <c r="C6" s="13" t="s">
        <v>111</v>
      </c>
      <c r="D6" s="13" t="s">
        <v>112</v>
      </c>
      <c r="E6" s="13" t="s">
        <v>113</v>
      </c>
      <c r="F6" s="13" t="s">
        <v>114</v>
      </c>
      <c r="G6" s="13" t="s">
        <v>115</v>
      </c>
      <c r="H6" s="13" t="s">
        <v>116</v>
      </c>
      <c r="I6" s="14" t="s">
        <v>117</v>
      </c>
      <c r="N6" s="20" t="s">
        <v>81</v>
      </c>
      <c r="O6" s="60">
        <f>O5/O4</f>
        <v>2.3999999999999999E-6</v>
      </c>
    </row>
    <row r="7" spans="1:15" ht="15.75" thickBot="1" x14ac:dyDescent="0.3">
      <c r="A7" s="30" t="s">
        <v>118</v>
      </c>
      <c r="B7" s="31">
        <v>10</v>
      </c>
      <c r="C7" s="32">
        <f>B7*O24</f>
        <v>68948</v>
      </c>
      <c r="D7" s="32">
        <f>C7/O4/O20</f>
        <v>7.0355102040816311</v>
      </c>
      <c r="E7" s="31">
        <v>0</v>
      </c>
      <c r="F7" s="32">
        <f>E7*O22</f>
        <v>0</v>
      </c>
      <c r="G7" s="32">
        <f>L3/C3^4</f>
        <v>3498294.5958505683</v>
      </c>
      <c r="H7" s="67">
        <f>G7*8*O8^2/(O20*PI()^2)</f>
        <v>4.6128590218456108E-3</v>
      </c>
      <c r="I7" s="68">
        <f>H7+F7+D7</f>
        <v>7.0401230631034766</v>
      </c>
      <c r="N7" s="20" t="s">
        <v>82</v>
      </c>
      <c r="O7" s="8">
        <v>2</v>
      </c>
    </row>
    <row r="8" spans="1:15" ht="15.75" thickBot="1" x14ac:dyDescent="0.3">
      <c r="N8" s="20" t="s">
        <v>83</v>
      </c>
      <c r="O8" s="60">
        <f>O7/O15*O17/O19</f>
        <v>1.2626262626262626E-4</v>
      </c>
    </row>
    <row r="9" spans="1:15" ht="15.75" thickBot="1" x14ac:dyDescent="0.3">
      <c r="A9" s="81" t="s">
        <v>119</v>
      </c>
      <c r="B9" s="82"/>
      <c r="C9" s="82"/>
      <c r="D9" s="82"/>
      <c r="E9" s="82"/>
      <c r="F9" s="82"/>
      <c r="G9" s="82"/>
      <c r="H9" s="82"/>
      <c r="I9" s="83"/>
      <c r="N9" s="44" t="s">
        <v>84</v>
      </c>
      <c r="O9" s="10">
        <f>O8*O4</f>
        <v>0.12626262626262627</v>
      </c>
    </row>
    <row r="10" spans="1:15" ht="15.75" thickBot="1" x14ac:dyDescent="0.3">
      <c r="A10" s="69" t="s">
        <v>120</v>
      </c>
      <c r="B10" s="70" t="s">
        <v>121</v>
      </c>
      <c r="C10" s="70" t="s">
        <v>122</v>
      </c>
      <c r="D10" s="70" t="s">
        <v>123</v>
      </c>
      <c r="E10" s="70" t="s">
        <v>124</v>
      </c>
      <c r="F10" s="70" t="s">
        <v>125</v>
      </c>
      <c r="G10" s="70" t="s">
        <v>126</v>
      </c>
      <c r="H10" s="70" t="s">
        <v>127</v>
      </c>
      <c r="I10" s="71" t="s">
        <v>128</v>
      </c>
    </row>
    <row r="11" spans="1:15" ht="15.75" thickBot="1" x14ac:dyDescent="0.3">
      <c r="A11" s="72" t="s">
        <v>41</v>
      </c>
      <c r="B11" s="42">
        <v>0.7</v>
      </c>
      <c r="C11" s="41">
        <f>I7*O20*O4*O8/B11</f>
        <v>12.44466198023342</v>
      </c>
      <c r="D11" s="73" t="s">
        <v>129</v>
      </c>
      <c r="E11" s="73" t="s">
        <v>129</v>
      </c>
      <c r="F11" s="42">
        <f>O9</f>
        <v>0.12626262626262627</v>
      </c>
      <c r="G11" s="74">
        <f>C11/F11</f>
        <v>98.561722883448681</v>
      </c>
      <c r="H11" s="75">
        <f>C11/1000/F11/3600</f>
        <v>2.7378256356513523E-5</v>
      </c>
      <c r="I11" s="76">
        <f>H11*O23</f>
        <v>6.4297420231206005E-3</v>
      </c>
      <c r="N11" s="86" t="s">
        <v>85</v>
      </c>
      <c r="O11" s="87"/>
    </row>
    <row r="12" spans="1:15" ht="15.75" thickBot="1" x14ac:dyDescent="0.3">
      <c r="A12" s="9" t="s">
        <v>130</v>
      </c>
      <c r="B12" s="46">
        <v>0.7</v>
      </c>
      <c r="C12" s="46">
        <f>240*10/B12*0.25</f>
        <v>857.14285714285722</v>
      </c>
      <c r="D12" s="46">
        <v>72</v>
      </c>
      <c r="E12" s="47">
        <f>D12*3600</f>
        <v>259200</v>
      </c>
      <c r="F12" s="77">
        <f>O14/O15*O17*O4/E12</f>
        <v>9.060512532734756E-4</v>
      </c>
      <c r="G12" s="78">
        <f>C12/F12</f>
        <v>946020.27649769583</v>
      </c>
      <c r="H12" s="77">
        <f>C12/1000/F12/3600</f>
        <v>0.26278341013824885</v>
      </c>
      <c r="I12" s="79">
        <f>H12*O23</f>
        <v>61.714285714285722</v>
      </c>
      <c r="N12" s="5" t="s">
        <v>5</v>
      </c>
      <c r="O12" s="6">
        <v>8.3000000000000004E-2</v>
      </c>
    </row>
    <row r="13" spans="1:15" x14ac:dyDescent="0.25">
      <c r="N13" s="7" t="s">
        <v>6</v>
      </c>
      <c r="O13" s="8">
        <v>14.5</v>
      </c>
    </row>
    <row r="14" spans="1:15" x14ac:dyDescent="0.25">
      <c r="N14" s="7" t="s">
        <v>12</v>
      </c>
      <c r="O14" s="8">
        <v>62</v>
      </c>
    </row>
    <row r="15" spans="1:15" x14ac:dyDescent="0.25">
      <c r="N15" s="7" t="s">
        <v>7</v>
      </c>
      <c r="O15" s="8">
        <v>0.26400000000000001</v>
      </c>
    </row>
    <row r="16" spans="1:15" x14ac:dyDescent="0.25">
      <c r="N16" s="7" t="s">
        <v>8</v>
      </c>
      <c r="O16" s="8">
        <f>O12*O13*O15</f>
        <v>0.31772400000000001</v>
      </c>
    </row>
    <row r="17" spans="14:15" x14ac:dyDescent="0.25">
      <c r="N17" s="7" t="s">
        <v>87</v>
      </c>
      <c r="O17" s="60">
        <v>1E-3</v>
      </c>
    </row>
    <row r="18" spans="14:15" x14ac:dyDescent="0.25">
      <c r="N18" s="7" t="s">
        <v>14</v>
      </c>
      <c r="O18" s="8">
        <v>44.01</v>
      </c>
    </row>
    <row r="19" spans="14:15" x14ac:dyDescent="0.25">
      <c r="N19" s="7" t="s">
        <v>88</v>
      </c>
      <c r="O19" s="8">
        <v>60</v>
      </c>
    </row>
    <row r="20" spans="14:15" x14ac:dyDescent="0.25">
      <c r="N20" s="7" t="s">
        <v>89</v>
      </c>
      <c r="O20" s="8">
        <v>9.8000000000000007</v>
      </c>
    </row>
    <row r="21" spans="14:15" x14ac:dyDescent="0.25">
      <c r="N21" s="7" t="s">
        <v>90</v>
      </c>
      <c r="O21" s="8">
        <v>2.5399999999999999E-2</v>
      </c>
    </row>
    <row r="22" spans="14:15" x14ac:dyDescent="0.25">
      <c r="N22" s="7" t="s">
        <v>91</v>
      </c>
      <c r="O22" s="8">
        <v>0.30480000000000002</v>
      </c>
    </row>
    <row r="23" spans="14:15" x14ac:dyDescent="0.25">
      <c r="N23" s="61" t="s">
        <v>92</v>
      </c>
      <c r="O23" s="62">
        <f>O14/O15*O17*O4</f>
        <v>234.84848484848487</v>
      </c>
    </row>
    <row r="24" spans="14:15" ht="15.75" thickBot="1" x14ac:dyDescent="0.3">
      <c r="N24" s="9" t="s">
        <v>93</v>
      </c>
      <c r="O24" s="10">
        <v>6894.8</v>
      </c>
    </row>
    <row r="25" spans="14:15" ht="15.75" thickBot="1" x14ac:dyDescent="0.3"/>
    <row r="26" spans="14:15" ht="15.75" thickBot="1" x14ac:dyDescent="0.3">
      <c r="N26" s="1" t="s">
        <v>0</v>
      </c>
    </row>
    <row r="27" spans="14:15" x14ac:dyDescent="0.25">
      <c r="N27" s="2" t="s">
        <v>1</v>
      </c>
    </row>
    <row r="28" spans="14:15" x14ac:dyDescent="0.25">
      <c r="N28" s="3" t="s">
        <v>2</v>
      </c>
    </row>
    <row r="29" spans="14:15" ht="15.75" thickBot="1" x14ac:dyDescent="0.3">
      <c r="N29" s="4" t="s">
        <v>3</v>
      </c>
    </row>
  </sheetData>
  <mergeCells count="5">
    <mergeCell ref="A1:L1"/>
    <mergeCell ref="N2:O2"/>
    <mergeCell ref="A5:I5"/>
    <mergeCell ref="A9:I9"/>
    <mergeCell ref="N11:O1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A3D464-B2D0-477B-BEA4-262C914B2B1D}">
  <dimension ref="A1:O33"/>
  <sheetViews>
    <sheetView workbookViewId="0">
      <selection activeCell="I31" sqref="I31"/>
    </sheetView>
  </sheetViews>
  <sheetFormatPr defaultRowHeight="15" x14ac:dyDescent="0.25"/>
  <cols>
    <col min="1" max="1" width="21.140625" bestFit="1" customWidth="1"/>
    <col min="2" max="3" width="22.28515625" bestFit="1" customWidth="1"/>
    <col min="4" max="4" width="21.5703125" bestFit="1" customWidth="1"/>
    <col min="5" max="5" width="24.7109375" bestFit="1" customWidth="1"/>
    <col min="6" max="6" width="23" bestFit="1" customWidth="1"/>
    <col min="7" max="7" width="23.28515625" customWidth="1"/>
    <col min="8" max="8" width="17.85546875" bestFit="1" customWidth="1"/>
    <col min="9" max="9" width="16" bestFit="1" customWidth="1"/>
    <col min="10" max="10" width="13.5703125" bestFit="1" customWidth="1"/>
    <col min="11" max="11" width="8.5703125" bestFit="1" customWidth="1"/>
    <col min="12" max="12" width="14.5703125" bestFit="1" customWidth="1"/>
    <col min="14" max="14" width="24.5703125" bestFit="1" customWidth="1"/>
    <col min="18" max="18" width="8.7109375" customWidth="1"/>
  </cols>
  <sheetData>
    <row r="1" spans="1:15" ht="15.75" thickBot="1" x14ac:dyDescent="0.3">
      <c r="A1" s="84" t="s">
        <v>15</v>
      </c>
      <c r="B1" s="91"/>
      <c r="C1" s="91"/>
      <c r="D1" s="91"/>
      <c r="E1" s="91"/>
      <c r="F1" s="91"/>
      <c r="G1" s="91"/>
      <c r="H1" s="91"/>
      <c r="I1" s="91"/>
      <c r="J1" s="91"/>
      <c r="K1" s="91"/>
      <c r="L1" s="85"/>
    </row>
    <row r="2" spans="1:15" ht="15.75" thickBot="1" x14ac:dyDescent="0.3">
      <c r="A2" s="11" t="s">
        <v>16</v>
      </c>
      <c r="B2" s="12" t="s">
        <v>17</v>
      </c>
      <c r="C2" s="13" t="s">
        <v>18</v>
      </c>
      <c r="D2" s="13" t="s">
        <v>19</v>
      </c>
      <c r="E2" s="13" t="s">
        <v>20</v>
      </c>
      <c r="F2" s="13" t="s">
        <v>21</v>
      </c>
      <c r="G2" s="13" t="s">
        <v>22</v>
      </c>
      <c r="H2" s="13" t="s">
        <v>23</v>
      </c>
      <c r="I2" s="13" t="s">
        <v>24</v>
      </c>
      <c r="J2" s="13" t="s">
        <v>25</v>
      </c>
      <c r="K2" s="13" t="s">
        <v>26</v>
      </c>
      <c r="L2" s="14" t="s">
        <v>27</v>
      </c>
      <c r="N2" s="84" t="s">
        <v>4</v>
      </c>
      <c r="O2" s="85"/>
    </row>
    <row r="3" spans="1:15" x14ac:dyDescent="0.25">
      <c r="A3" s="15" t="s">
        <v>28</v>
      </c>
      <c r="B3" s="16">
        <v>15</v>
      </c>
      <c r="C3" s="16">
        <v>298</v>
      </c>
      <c r="D3" s="16">
        <f>ROUNDUP(5*31*1.18,0)</f>
        <v>183</v>
      </c>
      <c r="E3" s="17">
        <f>D3/$O$5/1000</f>
        <v>0.70384615384615379</v>
      </c>
      <c r="F3" s="17">
        <f>B3*$O$11/$O$6/C3*$O$5*1000</f>
        <v>1211.2323396804063</v>
      </c>
      <c r="G3" s="17">
        <f>B3*$O$12/$O$6/C3*$O$5*1000</f>
        <v>1840.6883725598993</v>
      </c>
      <c r="H3" s="17">
        <f>B3*D3/($O$6*C3)</f>
        <v>29.437887558637161</v>
      </c>
      <c r="I3" s="17">
        <f>E3</f>
        <v>0.70384615384615379</v>
      </c>
      <c r="J3" s="17">
        <f>I3*F3</f>
        <v>852.52122369813208</v>
      </c>
      <c r="K3" s="18">
        <v>0</v>
      </c>
      <c r="L3" s="19">
        <v>0</v>
      </c>
      <c r="N3" s="5" t="s">
        <v>5</v>
      </c>
      <c r="O3" s="6">
        <v>8.3000000000000004E-2</v>
      </c>
    </row>
    <row r="4" spans="1:15" x14ac:dyDescent="0.25">
      <c r="A4" s="20" t="s">
        <v>29</v>
      </c>
      <c r="B4" s="21">
        <v>15</v>
      </c>
      <c r="C4" s="21">
        <v>298</v>
      </c>
      <c r="D4" s="21">
        <f>D3</f>
        <v>183</v>
      </c>
      <c r="E4" s="22">
        <f t="shared" ref="E4:E5" si="0">D4/$O$5/1000</f>
        <v>0.70384615384615379</v>
      </c>
      <c r="F4" s="22">
        <f>B4*$O$11/$O$6/C4*$O$5*1000</f>
        <v>1211.2323396804063</v>
      </c>
      <c r="G4" s="22">
        <f>B4*$O$12/$O$6/C4*$O$5*1000</f>
        <v>1840.6883725598993</v>
      </c>
      <c r="H4" s="17">
        <f>B4*D4/($O$6*C4)</f>
        <v>29.437887558637161</v>
      </c>
      <c r="I4" s="22">
        <f>(D4-E8)/O5/1000</f>
        <v>0</v>
      </c>
      <c r="J4" s="22">
        <f>I4*F4</f>
        <v>0</v>
      </c>
      <c r="K4" s="22">
        <f>E4-I4</f>
        <v>0.70384615384615379</v>
      </c>
      <c r="L4" s="23">
        <f>K4*G4</f>
        <v>1295.5614314556215</v>
      </c>
      <c r="N4" s="7" t="s">
        <v>6</v>
      </c>
      <c r="O4" s="8">
        <v>14.5</v>
      </c>
    </row>
    <row r="5" spans="1:15" ht="15.75" thickBot="1" x14ac:dyDescent="0.3">
      <c r="A5" s="24" t="s">
        <v>30</v>
      </c>
      <c r="B5" s="25">
        <v>25</v>
      </c>
      <c r="C5" s="25">
        <v>298</v>
      </c>
      <c r="D5" s="25">
        <f>D3</f>
        <v>183</v>
      </c>
      <c r="E5" s="26">
        <f t="shared" si="0"/>
        <v>0.70384615384615379</v>
      </c>
      <c r="F5" s="26">
        <f>B5*$O$11/$O$6/C5*$O$5*1000</f>
        <v>2018.7205661340108</v>
      </c>
      <c r="G5" s="26">
        <f>B5*$O$12/$O$6/C5*$O$5*1000</f>
        <v>3067.8139542664985</v>
      </c>
      <c r="H5" s="27">
        <f>B5*D5/($O$6*C5)</f>
        <v>49.063145931061939</v>
      </c>
      <c r="I5" s="26">
        <f>J5/F5</f>
        <v>0</v>
      </c>
      <c r="J5" s="26">
        <f>J4</f>
        <v>0</v>
      </c>
      <c r="K5" s="26">
        <f>E5-I5</f>
        <v>0.70384615384615379</v>
      </c>
      <c r="L5" s="28">
        <f>G5*K5</f>
        <v>2159.2690524260352</v>
      </c>
      <c r="N5" s="7" t="s">
        <v>7</v>
      </c>
      <c r="O5" s="8">
        <v>0.26</v>
      </c>
    </row>
    <row r="6" spans="1:15" ht="15.75" thickBot="1" x14ac:dyDescent="0.3">
      <c r="A6" s="92" t="s">
        <v>31</v>
      </c>
      <c r="B6" s="93"/>
      <c r="C6" s="93"/>
      <c r="D6" s="93"/>
      <c r="E6" s="93"/>
      <c r="F6" s="93"/>
      <c r="G6" s="93"/>
      <c r="H6" s="93"/>
      <c r="I6" s="93"/>
      <c r="J6" s="93"/>
      <c r="K6" s="93"/>
      <c r="L6" s="94"/>
      <c r="N6" s="7" t="s">
        <v>8</v>
      </c>
      <c r="O6" s="8">
        <f>O3*O4*O5</f>
        <v>0.31291000000000002</v>
      </c>
    </row>
    <row r="7" spans="1:15" ht="15.75" thickBot="1" x14ac:dyDescent="0.3">
      <c r="A7" s="29" t="s">
        <v>16</v>
      </c>
      <c r="B7" s="12" t="s">
        <v>32</v>
      </c>
      <c r="C7" s="13" t="s">
        <v>33</v>
      </c>
      <c r="D7" s="13" t="s">
        <v>34</v>
      </c>
      <c r="E7" s="13" t="s">
        <v>35</v>
      </c>
      <c r="F7" s="13" t="s">
        <v>36</v>
      </c>
      <c r="G7" s="13" t="s">
        <v>37</v>
      </c>
      <c r="H7" s="13" t="s">
        <v>38</v>
      </c>
      <c r="I7" s="13" t="s">
        <v>39</v>
      </c>
      <c r="J7" s="13" t="s">
        <v>40</v>
      </c>
      <c r="K7" s="13"/>
      <c r="L7" s="14"/>
      <c r="N7" s="7" t="s">
        <v>9</v>
      </c>
      <c r="O7" s="8">
        <v>1.96</v>
      </c>
    </row>
    <row r="8" spans="1:15" ht="15.75" thickBot="1" x14ac:dyDescent="0.3">
      <c r="A8" s="30" t="s">
        <v>41</v>
      </c>
      <c r="B8" s="31">
        <v>10</v>
      </c>
      <c r="C8" s="31">
        <v>20</v>
      </c>
      <c r="D8" s="32">
        <f>B8*C8</f>
        <v>200</v>
      </c>
      <c r="E8" s="33">
        <f>IF((D3-D8)&lt;=0,D3,D8)</f>
        <v>183</v>
      </c>
      <c r="F8" s="33">
        <f>IF((D8-D3)&gt;=0,D8-D3,0)</f>
        <v>17</v>
      </c>
      <c r="G8" s="33">
        <f>D8-F8</f>
        <v>183</v>
      </c>
      <c r="H8" s="33">
        <f>G8/O5/1000*G4</f>
        <v>1295.5614314556215</v>
      </c>
      <c r="I8" s="34">
        <f>F8/O5/1000*G4</f>
        <v>120.35270128276265</v>
      </c>
      <c r="J8" s="34">
        <f>D8/O5/1000*G4</f>
        <v>1415.9141327383841</v>
      </c>
      <c r="K8" s="35"/>
      <c r="L8" s="36"/>
      <c r="N8" s="7" t="s">
        <v>10</v>
      </c>
      <c r="O8" s="8">
        <v>1000</v>
      </c>
    </row>
    <row r="9" spans="1:15" ht="15.75" thickBot="1" x14ac:dyDescent="0.3">
      <c r="N9" s="7" t="s">
        <v>11</v>
      </c>
      <c r="O9" s="8">
        <v>1</v>
      </c>
    </row>
    <row r="10" spans="1:15" ht="15.75" thickBot="1" x14ac:dyDescent="0.3">
      <c r="A10" s="84" t="s">
        <v>42</v>
      </c>
      <c r="B10" s="91"/>
      <c r="C10" s="91"/>
      <c r="D10" s="91"/>
      <c r="E10" s="91"/>
      <c r="F10" s="91"/>
      <c r="G10" s="91"/>
      <c r="H10" s="91"/>
      <c r="I10" s="91"/>
      <c r="J10" s="91"/>
      <c r="K10" s="91"/>
      <c r="L10" s="85"/>
      <c r="N10" s="7" t="s">
        <v>12</v>
      </c>
      <c r="O10" s="8">
        <f>5*31</f>
        <v>155</v>
      </c>
    </row>
    <row r="11" spans="1:15" ht="15.75" thickBot="1" x14ac:dyDescent="0.3">
      <c r="A11" s="37" t="s">
        <v>16</v>
      </c>
      <c r="B11" s="38" t="s">
        <v>17</v>
      </c>
      <c r="C11" s="38" t="s">
        <v>18</v>
      </c>
      <c r="D11" s="38" t="s">
        <v>19</v>
      </c>
      <c r="E11" s="38" t="s">
        <v>43</v>
      </c>
      <c r="F11" s="38" t="s">
        <v>44</v>
      </c>
      <c r="G11" s="38" t="s">
        <v>45</v>
      </c>
      <c r="H11" s="38" t="s">
        <v>46</v>
      </c>
      <c r="I11" s="38" t="s">
        <v>25</v>
      </c>
      <c r="J11" s="38" t="s">
        <v>47</v>
      </c>
      <c r="K11" s="38" t="s">
        <v>48</v>
      </c>
      <c r="L11" s="39" t="s">
        <v>49</v>
      </c>
      <c r="N11" s="7" t="s">
        <v>13</v>
      </c>
      <c r="O11" s="8">
        <v>28.96</v>
      </c>
    </row>
    <row r="12" spans="1:15" ht="15.75" thickBot="1" x14ac:dyDescent="0.3">
      <c r="A12" s="15" t="s">
        <v>50</v>
      </c>
      <c r="B12" s="40">
        <v>25</v>
      </c>
      <c r="C12" s="40">
        <v>298</v>
      </c>
      <c r="D12" s="40">
        <f>D5</f>
        <v>183</v>
      </c>
      <c r="E12" s="41">
        <f>B12*D12/(C12*$O$6)</f>
        <v>49.063145931061939</v>
      </c>
      <c r="F12" s="41">
        <f>H12/E12</f>
        <v>0</v>
      </c>
      <c r="G12" s="41">
        <f>J12/E12</f>
        <v>0.99999999999999967</v>
      </c>
      <c r="H12" s="41">
        <f>I12/O11</f>
        <v>0</v>
      </c>
      <c r="I12" s="42">
        <f>J5</f>
        <v>0</v>
      </c>
      <c r="J12" s="41">
        <f>K12/O12</f>
        <v>49.063145931061925</v>
      </c>
      <c r="K12" s="42">
        <f>L5</f>
        <v>2159.2690524260352</v>
      </c>
      <c r="L12" s="43">
        <v>0</v>
      </c>
      <c r="N12" s="9" t="s">
        <v>14</v>
      </c>
      <c r="O12" s="10">
        <v>44.01</v>
      </c>
    </row>
    <row r="13" spans="1:15" ht="15.75" thickBot="1" x14ac:dyDescent="0.3">
      <c r="A13" s="44" t="s">
        <v>51</v>
      </c>
      <c r="B13" s="45">
        <v>25</v>
      </c>
      <c r="C13" s="45">
        <v>298</v>
      </c>
      <c r="D13" s="46">
        <f>D12-O10</f>
        <v>28</v>
      </c>
      <c r="E13" s="47">
        <f>B13*D13/(C13*$O$6)</f>
        <v>7.5069294320750508</v>
      </c>
      <c r="F13" s="47">
        <f>F12</f>
        <v>0</v>
      </c>
      <c r="G13" s="47">
        <f>G12</f>
        <v>0.99999999999999967</v>
      </c>
      <c r="H13" s="47">
        <f>F13*E13</f>
        <v>0</v>
      </c>
      <c r="I13" s="47">
        <f>H13*$O$11</f>
        <v>0</v>
      </c>
      <c r="J13" s="47">
        <f>G13*E13</f>
        <v>7.5069294320750481</v>
      </c>
      <c r="K13" s="47">
        <f>J13*$O$12</f>
        <v>330.37996430562288</v>
      </c>
      <c r="L13" s="48">
        <f>K12-K13</f>
        <v>1828.8890881204122</v>
      </c>
    </row>
    <row r="14" spans="1:15" ht="15.75" thickBot="1" x14ac:dyDescent="0.3">
      <c r="N14" s="1" t="s">
        <v>0</v>
      </c>
    </row>
    <row r="15" spans="1:15" ht="15.75" thickBot="1" x14ac:dyDescent="0.3">
      <c r="A15" s="92" t="s">
        <v>52</v>
      </c>
      <c r="B15" s="93"/>
      <c r="C15" s="93"/>
      <c r="D15" s="93"/>
      <c r="E15" s="94"/>
      <c r="N15" s="2" t="s">
        <v>1</v>
      </c>
    </row>
    <row r="16" spans="1:15" ht="15.75" thickBot="1" x14ac:dyDescent="0.3">
      <c r="A16" s="37" t="s">
        <v>16</v>
      </c>
      <c r="B16" s="38" t="s">
        <v>53</v>
      </c>
      <c r="C16" s="38" t="s">
        <v>54</v>
      </c>
      <c r="D16" s="38" t="s">
        <v>55</v>
      </c>
      <c r="E16" s="39" t="s">
        <v>56</v>
      </c>
      <c r="N16" s="3" t="s">
        <v>2</v>
      </c>
    </row>
    <row r="17" spans="1:14" ht="15.75" thickBot="1" x14ac:dyDescent="0.3">
      <c r="A17" s="15" t="s">
        <v>57</v>
      </c>
      <c r="B17" s="40">
        <v>0.88</v>
      </c>
      <c r="C17" s="40">
        <f>B17*$O$7</f>
        <v>1.7247999999999999</v>
      </c>
      <c r="D17" s="49"/>
      <c r="E17" s="50"/>
      <c r="N17" s="4" t="s">
        <v>3</v>
      </c>
    </row>
    <row r="18" spans="1:14" x14ac:dyDescent="0.25">
      <c r="A18" s="20" t="s">
        <v>58</v>
      </c>
      <c r="B18" s="21">
        <v>2.5</v>
      </c>
      <c r="C18" s="21">
        <f>B18*$O$7</f>
        <v>4.9000000000000004</v>
      </c>
      <c r="D18" s="51"/>
      <c r="E18" s="8"/>
    </row>
    <row r="19" spans="1:14" ht="15.75" thickBot="1" x14ac:dyDescent="0.3">
      <c r="A19" s="44" t="s">
        <v>59</v>
      </c>
      <c r="B19" s="52"/>
      <c r="C19" s="52"/>
      <c r="D19" s="53">
        <f>C18-C17</f>
        <v>3.1752000000000002</v>
      </c>
      <c r="E19" s="48">
        <f>D19*O10/O5</f>
        <v>1892.9076923076925</v>
      </c>
    </row>
    <row r="20" spans="1:14" ht="15.75" thickBot="1" x14ac:dyDescent="0.3"/>
    <row r="21" spans="1:14" ht="15.75" thickBot="1" x14ac:dyDescent="0.3">
      <c r="A21" s="84" t="s">
        <v>60</v>
      </c>
      <c r="B21" s="91"/>
      <c r="C21" s="91"/>
      <c r="D21" s="91"/>
      <c r="E21" s="91"/>
      <c r="F21" s="91"/>
      <c r="G21" s="91"/>
      <c r="H21" s="91"/>
      <c r="I21" s="91"/>
      <c r="J21" s="91"/>
      <c r="K21" s="91"/>
      <c r="L21" s="85"/>
    </row>
    <row r="22" spans="1:14" ht="15.75" thickBot="1" x14ac:dyDescent="0.3">
      <c r="A22" s="37" t="s">
        <v>16</v>
      </c>
      <c r="B22" s="38" t="s">
        <v>17</v>
      </c>
      <c r="C22" s="38" t="s">
        <v>18</v>
      </c>
      <c r="D22" s="38" t="s">
        <v>19</v>
      </c>
      <c r="E22" s="38" t="s">
        <v>43</v>
      </c>
      <c r="F22" s="38" t="s">
        <v>44</v>
      </c>
      <c r="G22" s="38" t="s">
        <v>45</v>
      </c>
      <c r="H22" s="38" t="s">
        <v>46</v>
      </c>
      <c r="I22" s="38" t="s">
        <v>25</v>
      </c>
      <c r="J22" s="38" t="s">
        <v>47</v>
      </c>
      <c r="K22" s="38" t="s">
        <v>48</v>
      </c>
      <c r="L22" s="39" t="s">
        <v>61</v>
      </c>
    </row>
    <row r="23" spans="1:14" x14ac:dyDescent="0.25">
      <c r="A23" s="15" t="s">
        <v>62</v>
      </c>
      <c r="B23" s="40">
        <v>25</v>
      </c>
      <c r="C23" s="40">
        <v>298</v>
      </c>
      <c r="D23" s="42">
        <f>D13</f>
        <v>28</v>
      </c>
      <c r="E23" s="41">
        <f>B23*D23/(C23*$O$6)</f>
        <v>7.5069294320750508</v>
      </c>
      <c r="F23" s="42">
        <f>F13</f>
        <v>0</v>
      </c>
      <c r="G23" s="42">
        <f>G13</f>
        <v>0.99999999999999967</v>
      </c>
      <c r="H23" s="41">
        <f>F23*E23</f>
        <v>0</v>
      </c>
      <c r="I23" s="41">
        <f>H23*$O$11</f>
        <v>0</v>
      </c>
      <c r="J23" s="41">
        <f>G23*E23</f>
        <v>7.5069294320750481</v>
      </c>
      <c r="K23" s="41">
        <f>J23*$O$12</f>
        <v>330.37996430562288</v>
      </c>
      <c r="L23" s="43">
        <v>0</v>
      </c>
    </row>
    <row r="24" spans="1:14" ht="15.75" thickBot="1" x14ac:dyDescent="0.3">
      <c r="A24" s="44" t="s">
        <v>63</v>
      </c>
      <c r="B24" s="45">
        <v>25</v>
      </c>
      <c r="C24" s="45">
        <v>298</v>
      </c>
      <c r="D24" s="46">
        <f>D23+O10</f>
        <v>183</v>
      </c>
      <c r="E24" s="47">
        <f>B24*D24/(C24*$O$6)</f>
        <v>49.063145931061939</v>
      </c>
      <c r="F24" s="47">
        <f>H24/E24</f>
        <v>0</v>
      </c>
      <c r="G24" s="47">
        <f>J24/E24</f>
        <v>1</v>
      </c>
      <c r="H24" s="47">
        <f>H23</f>
        <v>0</v>
      </c>
      <c r="I24" s="47">
        <f t="shared" ref="I24" si="1">H24*$O$11</f>
        <v>0</v>
      </c>
      <c r="J24" s="47">
        <f>E24-H24</f>
        <v>49.063145931061939</v>
      </c>
      <c r="K24" s="47">
        <f t="shared" ref="K24" si="2">J24*$O$12</f>
        <v>2159.2690524260361</v>
      </c>
      <c r="L24" s="48">
        <f>K24</f>
        <v>2159.2690524260361</v>
      </c>
    </row>
    <row r="25" spans="1:14" ht="15.75" thickBot="1" x14ac:dyDescent="0.3"/>
    <row r="26" spans="1:14" ht="15.75" thickBot="1" x14ac:dyDescent="0.3">
      <c r="A26" s="88" t="s">
        <v>64</v>
      </c>
      <c r="B26" s="89"/>
      <c r="C26" s="89"/>
      <c r="D26" s="89"/>
      <c r="E26" s="89"/>
      <c r="F26" s="89"/>
      <c r="G26" s="90"/>
    </row>
    <row r="27" spans="1:14" ht="15.75" thickBot="1" x14ac:dyDescent="0.3">
      <c r="A27" s="37" t="s">
        <v>65</v>
      </c>
      <c r="B27" s="38" t="s">
        <v>66</v>
      </c>
      <c r="C27" s="38" t="s">
        <v>67</v>
      </c>
      <c r="D27" s="38" t="s">
        <v>68</v>
      </c>
      <c r="E27" s="38" t="s">
        <v>69</v>
      </c>
      <c r="F27" s="38" t="s">
        <v>70</v>
      </c>
      <c r="G27" s="39" t="s">
        <v>71</v>
      </c>
    </row>
    <row r="28" spans="1:14" x14ac:dyDescent="0.25">
      <c r="A28" s="15" t="s">
        <v>72</v>
      </c>
      <c r="B28" s="41">
        <f>J8+(L5-L4)</f>
        <v>2279.6217537087978</v>
      </c>
      <c r="C28" s="41">
        <f>B28/$O$8</f>
        <v>2.2796217537087977</v>
      </c>
      <c r="D28" s="41">
        <f>I8</f>
        <v>120.35270128276265</v>
      </c>
      <c r="E28" s="41">
        <f>D28/$O$8</f>
        <v>0.12035270128276265</v>
      </c>
      <c r="F28" s="41">
        <v>0</v>
      </c>
      <c r="G28" s="54">
        <f>F28/O8</f>
        <v>0</v>
      </c>
    </row>
    <row r="29" spans="1:14" x14ac:dyDescent="0.25">
      <c r="A29" s="20" t="s">
        <v>73</v>
      </c>
      <c r="B29" s="22">
        <v>0</v>
      </c>
      <c r="C29" s="22">
        <f t="shared" ref="C29:C32" si="3">B29/$O$8</f>
        <v>0</v>
      </c>
      <c r="D29" s="22">
        <f>L13</f>
        <v>1828.8890881204122</v>
      </c>
      <c r="E29" s="22">
        <f t="shared" ref="E29:E33" si="4">D29/$O$8</f>
        <v>1.8288890881204123</v>
      </c>
      <c r="F29" s="22">
        <v>0</v>
      </c>
      <c r="G29" s="55">
        <f>F29/O8</f>
        <v>0</v>
      </c>
    </row>
    <row r="30" spans="1:14" x14ac:dyDescent="0.25">
      <c r="A30" s="20" t="s">
        <v>74</v>
      </c>
      <c r="B30" s="22">
        <f>E19</f>
        <v>1892.9076923076925</v>
      </c>
      <c r="C30" s="22">
        <f t="shared" si="3"/>
        <v>1.8929076923076926</v>
      </c>
      <c r="D30" s="22">
        <v>0</v>
      </c>
      <c r="E30" s="22">
        <f t="shared" si="4"/>
        <v>0</v>
      </c>
      <c r="F30" s="22">
        <f>E19</f>
        <v>1892.9076923076925</v>
      </c>
      <c r="G30" s="55">
        <f>F30/O8</f>
        <v>1.8929076923076926</v>
      </c>
    </row>
    <row r="31" spans="1:14" x14ac:dyDescent="0.25">
      <c r="A31" s="20" t="s">
        <v>75</v>
      </c>
      <c r="B31" s="22">
        <f>K24-K23</f>
        <v>1828.8890881204131</v>
      </c>
      <c r="C31" s="22">
        <f t="shared" si="3"/>
        <v>1.8288890881204132</v>
      </c>
      <c r="D31" s="22">
        <v>0</v>
      </c>
      <c r="E31" s="22">
        <f t="shared" si="4"/>
        <v>0</v>
      </c>
      <c r="F31" s="22">
        <v>0</v>
      </c>
      <c r="G31" s="55">
        <f>F31/O8</f>
        <v>0</v>
      </c>
    </row>
    <row r="32" spans="1:14" ht="15.75" thickBot="1" x14ac:dyDescent="0.3">
      <c r="A32" s="44" t="s">
        <v>76</v>
      </c>
      <c r="B32" s="47">
        <f>0</f>
        <v>0</v>
      </c>
      <c r="C32" s="47">
        <f t="shared" si="3"/>
        <v>0</v>
      </c>
      <c r="D32" s="47">
        <f>L24</f>
        <v>2159.2690524260361</v>
      </c>
      <c r="E32" s="47">
        <f t="shared" si="4"/>
        <v>2.1592690524260361</v>
      </c>
      <c r="F32" s="47">
        <v>0</v>
      </c>
      <c r="G32" s="56">
        <f>F32/O8</f>
        <v>0</v>
      </c>
    </row>
    <row r="33" spans="1:7" ht="15.75" thickBot="1" x14ac:dyDescent="0.3">
      <c r="A33" s="12" t="s">
        <v>77</v>
      </c>
      <c r="B33" s="57">
        <f>SUM(B28:B32)</f>
        <v>6001.4185341369039</v>
      </c>
      <c r="C33" s="57">
        <f>B33/$O$8</f>
        <v>6.0014185341369037</v>
      </c>
      <c r="D33" s="57">
        <f>SUM(D28:D32)</f>
        <v>4108.5108418292111</v>
      </c>
      <c r="E33" s="57">
        <f t="shared" si="4"/>
        <v>4.1085108418292116</v>
      </c>
      <c r="F33" s="57">
        <f>SUM(F28:F32)</f>
        <v>1892.9076923076925</v>
      </c>
      <c r="G33" s="58">
        <f>F33/O8</f>
        <v>1.8929076923076926</v>
      </c>
    </row>
  </sheetData>
  <mergeCells count="7">
    <mergeCell ref="A26:G26"/>
    <mergeCell ref="A1:L1"/>
    <mergeCell ref="N2:O2"/>
    <mergeCell ref="A6:L6"/>
    <mergeCell ref="A10:L10"/>
    <mergeCell ref="A15:E15"/>
    <mergeCell ref="A21:L2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F385C1-C9CF-4D1F-BDE2-C29F0D663D20}">
  <dimension ref="A1:O30"/>
  <sheetViews>
    <sheetView workbookViewId="0">
      <selection activeCell="B31" sqref="B31"/>
    </sheetView>
  </sheetViews>
  <sheetFormatPr defaultRowHeight="15" x14ac:dyDescent="0.25"/>
  <cols>
    <col min="1" max="1" width="30.28515625" bestFit="1" customWidth="1"/>
    <col min="2" max="2" width="22.85546875" bestFit="1" customWidth="1"/>
    <col min="3" max="3" width="22.42578125" bestFit="1" customWidth="1"/>
    <col min="4" max="4" width="19" bestFit="1" customWidth="1"/>
    <col min="5" max="5" width="18.7109375" bestFit="1" customWidth="1"/>
    <col min="6" max="6" width="26.28515625" bestFit="1" customWidth="1"/>
    <col min="7" max="7" width="29" bestFit="1" customWidth="1"/>
    <col min="8" max="8" width="27.7109375" bestFit="1" customWidth="1"/>
    <col min="9" max="9" width="31.42578125" bestFit="1" customWidth="1"/>
    <col min="10" max="10" width="23.85546875" bestFit="1" customWidth="1"/>
    <col min="11" max="11" width="14.28515625" bestFit="1" customWidth="1"/>
    <col min="12" max="12" width="15.28515625" bestFit="1" customWidth="1"/>
    <col min="14" max="14" width="24.42578125" bestFit="1" customWidth="1"/>
    <col min="15" max="15" width="12.5703125" bestFit="1" customWidth="1"/>
  </cols>
  <sheetData>
    <row r="1" spans="1:15" ht="15.75" thickBot="1" x14ac:dyDescent="0.3">
      <c r="A1" s="81" t="s">
        <v>94</v>
      </c>
      <c r="B1" s="82"/>
      <c r="C1" s="82"/>
      <c r="D1" s="82"/>
      <c r="E1" s="82"/>
      <c r="F1" s="82"/>
      <c r="G1" s="82"/>
      <c r="H1" s="82"/>
      <c r="I1" s="82"/>
      <c r="J1" s="82"/>
      <c r="K1" s="82"/>
      <c r="L1" s="83"/>
    </row>
    <row r="2" spans="1:15" ht="15.75" thickBot="1" x14ac:dyDescent="0.3">
      <c r="A2" s="37" t="s">
        <v>95</v>
      </c>
      <c r="B2" s="38" t="s">
        <v>96</v>
      </c>
      <c r="C2" s="38" t="s">
        <v>97</v>
      </c>
      <c r="D2" s="38" t="s">
        <v>98</v>
      </c>
      <c r="E2" s="38" t="s">
        <v>99</v>
      </c>
      <c r="F2" s="38" t="s">
        <v>100</v>
      </c>
      <c r="G2" s="38" t="s">
        <v>101</v>
      </c>
      <c r="H2" s="38" t="s">
        <v>102</v>
      </c>
      <c r="I2" s="38" t="s">
        <v>103</v>
      </c>
      <c r="J2" s="38" t="s">
        <v>104</v>
      </c>
      <c r="K2" s="38" t="s">
        <v>105</v>
      </c>
      <c r="L2" s="39" t="s">
        <v>106</v>
      </c>
      <c r="N2" s="84" t="s">
        <v>78</v>
      </c>
      <c r="O2" s="85"/>
    </row>
    <row r="3" spans="1:15" ht="15.75" thickBot="1" x14ac:dyDescent="0.3">
      <c r="A3" s="12" t="s">
        <v>107</v>
      </c>
      <c r="B3" s="63">
        <v>1</v>
      </c>
      <c r="C3" s="64">
        <f>B3*O22</f>
        <v>2.5399999999999999E-2</v>
      </c>
      <c r="D3" s="63">
        <v>1.25</v>
      </c>
      <c r="E3" s="63">
        <v>5</v>
      </c>
      <c r="F3" s="64">
        <f>E3*O23</f>
        <v>1.524</v>
      </c>
      <c r="G3" s="63" t="s">
        <v>108</v>
      </c>
      <c r="H3" s="64">
        <f>O8/(PI()*C3^2/4)</f>
        <v>0.24918247997348297</v>
      </c>
      <c r="I3" s="64">
        <f>H3*C3/O6</f>
        <v>2637.1812463860283</v>
      </c>
      <c r="J3" s="65">
        <f>0.002/1000/C3</f>
        <v>7.8740157480314957E-5</v>
      </c>
      <c r="K3" s="64">
        <f>16/I3</f>
        <v>6.0670839449985733E-3</v>
      </c>
      <c r="L3" s="66">
        <f>K3*4*F3/C3</f>
        <v>1.4561001467996577</v>
      </c>
      <c r="N3" s="59" t="s">
        <v>18</v>
      </c>
      <c r="O3" s="6">
        <v>298</v>
      </c>
    </row>
    <row r="4" spans="1:15" ht="15.75" thickBot="1" x14ac:dyDescent="0.3">
      <c r="N4" s="20" t="s">
        <v>79</v>
      </c>
      <c r="O4" s="8">
        <v>1000</v>
      </c>
    </row>
    <row r="5" spans="1:15" ht="15.75" thickBot="1" x14ac:dyDescent="0.3">
      <c r="A5" s="81" t="s">
        <v>109</v>
      </c>
      <c r="B5" s="82"/>
      <c r="C5" s="82"/>
      <c r="D5" s="82"/>
      <c r="E5" s="82"/>
      <c r="F5" s="82"/>
      <c r="G5" s="82"/>
      <c r="H5" s="82"/>
      <c r="I5" s="83"/>
      <c r="N5" s="20" t="s">
        <v>80</v>
      </c>
      <c r="O5" s="60">
        <f>2.4*10^-3</f>
        <v>2.3999999999999998E-3</v>
      </c>
    </row>
    <row r="6" spans="1:15" ht="15.75" thickBot="1" x14ac:dyDescent="0.3">
      <c r="A6" s="12" t="s">
        <v>16</v>
      </c>
      <c r="B6" s="13" t="s">
        <v>110</v>
      </c>
      <c r="C6" s="13" t="s">
        <v>111</v>
      </c>
      <c r="D6" s="13" t="s">
        <v>112</v>
      </c>
      <c r="E6" s="13" t="s">
        <v>113</v>
      </c>
      <c r="F6" s="13" t="s">
        <v>114</v>
      </c>
      <c r="G6" s="13" t="s">
        <v>115</v>
      </c>
      <c r="H6" s="13" t="s">
        <v>116</v>
      </c>
      <c r="I6" s="14" t="s">
        <v>117</v>
      </c>
      <c r="N6" s="20" t="s">
        <v>81</v>
      </c>
      <c r="O6" s="60">
        <f>O5/O4</f>
        <v>2.3999999999999999E-6</v>
      </c>
    </row>
    <row r="7" spans="1:15" ht="15.75" thickBot="1" x14ac:dyDescent="0.3">
      <c r="A7" s="30" t="s">
        <v>118</v>
      </c>
      <c r="B7" s="31">
        <v>10</v>
      </c>
      <c r="C7" s="32">
        <f>B7*O25</f>
        <v>68948</v>
      </c>
      <c r="D7" s="32">
        <f>C7/O4/O21</f>
        <v>7.0355102040816311</v>
      </c>
      <c r="E7" s="31">
        <v>0</v>
      </c>
      <c r="F7" s="32">
        <f>E7*O23</f>
        <v>0</v>
      </c>
      <c r="G7" s="32">
        <f>L3/C3^4</f>
        <v>3498294.5958505683</v>
      </c>
      <c r="H7" s="67">
        <f>G7*8*O8^2/(O21*PI()^2)</f>
        <v>4.6128590218456108E-3</v>
      </c>
      <c r="I7" s="68">
        <f>H7+F7+D7</f>
        <v>7.0401230631034766</v>
      </c>
      <c r="N7" s="20" t="s">
        <v>82</v>
      </c>
      <c r="O7" s="8">
        <v>2</v>
      </c>
    </row>
    <row r="8" spans="1:15" ht="15.75" thickBot="1" x14ac:dyDescent="0.3">
      <c r="N8" s="20" t="s">
        <v>83</v>
      </c>
      <c r="O8" s="60">
        <f>O7/O16*O18/O20</f>
        <v>1.2626262626262626E-4</v>
      </c>
    </row>
    <row r="9" spans="1:15" ht="15.75" thickBot="1" x14ac:dyDescent="0.3">
      <c r="A9" s="81" t="s">
        <v>119</v>
      </c>
      <c r="B9" s="82"/>
      <c r="C9" s="82"/>
      <c r="D9" s="82"/>
      <c r="E9" s="82"/>
      <c r="F9" s="82"/>
      <c r="G9" s="82"/>
      <c r="H9" s="82"/>
      <c r="I9" s="83"/>
      <c r="N9" s="44" t="s">
        <v>84</v>
      </c>
      <c r="O9" s="10">
        <f>O8*O4</f>
        <v>0.12626262626262627</v>
      </c>
    </row>
    <row r="10" spans="1:15" ht="15.75" thickBot="1" x14ac:dyDescent="0.3">
      <c r="A10" s="69" t="s">
        <v>120</v>
      </c>
      <c r="B10" s="70" t="s">
        <v>121</v>
      </c>
      <c r="C10" s="70" t="s">
        <v>122</v>
      </c>
      <c r="D10" s="70" t="s">
        <v>123</v>
      </c>
      <c r="E10" s="70" t="s">
        <v>124</v>
      </c>
      <c r="F10" s="70" t="s">
        <v>125</v>
      </c>
      <c r="G10" s="70" t="s">
        <v>126</v>
      </c>
      <c r="H10" s="70" t="s">
        <v>127</v>
      </c>
      <c r="I10" s="71" t="s">
        <v>128</v>
      </c>
    </row>
    <row r="11" spans="1:15" ht="15.75" thickBot="1" x14ac:dyDescent="0.3">
      <c r="A11" s="72" t="s">
        <v>41</v>
      </c>
      <c r="B11" s="42">
        <v>0.7</v>
      </c>
      <c r="C11" s="41">
        <f>I7*O21*O4*O8/B11</f>
        <v>12.44466198023342</v>
      </c>
      <c r="D11" s="73" t="s">
        <v>129</v>
      </c>
      <c r="E11" s="73" t="s">
        <v>129</v>
      </c>
      <c r="F11" s="42">
        <f>O9</f>
        <v>0.12626262626262627</v>
      </c>
      <c r="G11" s="74">
        <f>C11/F11</f>
        <v>98.561722883448681</v>
      </c>
      <c r="H11" s="75">
        <f>C11/1000/F11/3600</f>
        <v>2.7378256356513523E-5</v>
      </c>
      <c r="I11" s="76">
        <f>H11*O24</f>
        <v>1.6074355057801502E-2</v>
      </c>
      <c r="N11" s="86" t="s">
        <v>85</v>
      </c>
      <c r="O11" s="87"/>
    </row>
    <row r="12" spans="1:15" ht="15.75" thickBot="1" x14ac:dyDescent="0.3">
      <c r="A12" s="9" t="s">
        <v>130</v>
      </c>
      <c r="B12" s="46">
        <v>0.7</v>
      </c>
      <c r="C12" s="46">
        <f>240*10/B12</f>
        <v>3428.5714285714289</v>
      </c>
      <c r="D12" s="46">
        <v>72</v>
      </c>
      <c r="E12" s="47">
        <f>D12*3600</f>
        <v>259200</v>
      </c>
      <c r="F12" s="77">
        <f>O14/O16*O18*O4/E12</f>
        <v>2.2651281331836888E-3</v>
      </c>
      <c r="G12" s="78">
        <f>C12/F12</f>
        <v>1513632.4423963134</v>
      </c>
      <c r="H12" s="77">
        <f>C12/1000/F12/3600</f>
        <v>0.42045345622119812</v>
      </c>
      <c r="I12" s="79">
        <f>H12*O24</f>
        <v>246.85714285714283</v>
      </c>
      <c r="N12" s="5" t="s">
        <v>5</v>
      </c>
      <c r="O12" s="6">
        <v>8.3000000000000004E-2</v>
      </c>
    </row>
    <row r="13" spans="1:15" x14ac:dyDescent="0.25">
      <c r="N13" s="7" t="s">
        <v>6</v>
      </c>
      <c r="O13" s="8">
        <v>14.5</v>
      </c>
    </row>
    <row r="14" spans="1:15" x14ac:dyDescent="0.25">
      <c r="I14" s="80"/>
      <c r="N14" s="7" t="s">
        <v>12</v>
      </c>
      <c r="O14" s="8">
        <f>31*5</f>
        <v>155</v>
      </c>
    </row>
    <row r="15" spans="1:15" x14ac:dyDescent="0.25">
      <c r="N15" s="7" t="s">
        <v>86</v>
      </c>
      <c r="O15" s="8">
        <f>O14/O16*O18</f>
        <v>0.58712121212121215</v>
      </c>
    </row>
    <row r="16" spans="1:15" x14ac:dyDescent="0.25">
      <c r="N16" s="7" t="s">
        <v>7</v>
      </c>
      <c r="O16" s="8">
        <v>0.26400000000000001</v>
      </c>
    </row>
    <row r="17" spans="14:15" x14ac:dyDescent="0.25">
      <c r="N17" s="7" t="s">
        <v>8</v>
      </c>
      <c r="O17" s="8">
        <f>O12*O13*O16</f>
        <v>0.31772400000000001</v>
      </c>
    </row>
    <row r="18" spans="14:15" x14ac:dyDescent="0.25">
      <c r="N18" s="7" t="s">
        <v>87</v>
      </c>
      <c r="O18" s="60">
        <v>1E-3</v>
      </c>
    </row>
    <row r="19" spans="14:15" x14ac:dyDescent="0.25">
      <c r="N19" s="7" t="s">
        <v>14</v>
      </c>
      <c r="O19" s="8">
        <v>44.01</v>
      </c>
    </row>
    <row r="20" spans="14:15" x14ac:dyDescent="0.25">
      <c r="N20" s="7" t="s">
        <v>88</v>
      </c>
      <c r="O20" s="8">
        <v>60</v>
      </c>
    </row>
    <row r="21" spans="14:15" x14ac:dyDescent="0.25">
      <c r="N21" s="7" t="s">
        <v>89</v>
      </c>
      <c r="O21" s="8">
        <v>9.8000000000000007</v>
      </c>
    </row>
    <row r="22" spans="14:15" x14ac:dyDescent="0.25">
      <c r="N22" s="7" t="s">
        <v>90</v>
      </c>
      <c r="O22" s="8">
        <v>2.5399999999999999E-2</v>
      </c>
    </row>
    <row r="23" spans="14:15" x14ac:dyDescent="0.25">
      <c r="N23" s="7" t="s">
        <v>91</v>
      </c>
      <c r="O23" s="8">
        <v>0.30480000000000002</v>
      </c>
    </row>
    <row r="24" spans="14:15" x14ac:dyDescent="0.25">
      <c r="N24" s="61" t="s">
        <v>92</v>
      </c>
      <c r="O24" s="62">
        <f>O14/O16*O18*O4</f>
        <v>587.12121212121212</v>
      </c>
    </row>
    <row r="25" spans="14:15" ht="15.75" thickBot="1" x14ac:dyDescent="0.3">
      <c r="N25" s="9" t="s">
        <v>93</v>
      </c>
      <c r="O25" s="10">
        <v>6894.8</v>
      </c>
    </row>
    <row r="26" spans="14:15" ht="15.75" thickBot="1" x14ac:dyDescent="0.3"/>
    <row r="27" spans="14:15" ht="15.75" thickBot="1" x14ac:dyDescent="0.3">
      <c r="N27" s="1" t="s">
        <v>0</v>
      </c>
    </row>
    <row r="28" spans="14:15" x14ac:dyDescent="0.25">
      <c r="N28" s="2" t="s">
        <v>1</v>
      </c>
    </row>
    <row r="29" spans="14:15" x14ac:dyDescent="0.25">
      <c r="N29" s="3" t="s">
        <v>2</v>
      </c>
    </row>
    <row r="30" spans="14:15" ht="15.75" thickBot="1" x14ac:dyDescent="0.3">
      <c r="N30" s="4" t="s">
        <v>3</v>
      </c>
    </row>
  </sheetData>
  <mergeCells count="5">
    <mergeCell ref="A1:L1"/>
    <mergeCell ref="N2:O2"/>
    <mergeCell ref="A5:I5"/>
    <mergeCell ref="A9:I9"/>
    <mergeCell ref="N11:O1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8C95FE-0D1D-45C3-9AE7-7CE013E8167C}">
  <dimension ref="A1:O33"/>
  <sheetViews>
    <sheetView workbookViewId="0">
      <selection sqref="A1:XFD1048576"/>
    </sheetView>
  </sheetViews>
  <sheetFormatPr defaultRowHeight="15" x14ac:dyDescent="0.25"/>
  <cols>
    <col min="1" max="1" width="21.140625" bestFit="1" customWidth="1"/>
    <col min="2" max="3" width="22.28515625" bestFit="1" customWidth="1"/>
    <col min="4" max="4" width="21.5703125" bestFit="1" customWidth="1"/>
    <col min="5" max="5" width="24.7109375" bestFit="1" customWidth="1"/>
    <col min="6" max="6" width="23" bestFit="1" customWidth="1"/>
    <col min="7" max="7" width="23.28515625" customWidth="1"/>
    <col min="8" max="8" width="17.85546875" bestFit="1" customWidth="1"/>
    <col min="9" max="9" width="16" bestFit="1" customWidth="1"/>
    <col min="10" max="10" width="13.5703125" bestFit="1" customWidth="1"/>
    <col min="11" max="11" width="8.5703125" bestFit="1" customWidth="1"/>
    <col min="12" max="12" width="14.5703125" bestFit="1" customWidth="1"/>
    <col min="14" max="14" width="24.5703125" bestFit="1" customWidth="1"/>
    <col min="18" max="18" width="8.7109375" customWidth="1"/>
  </cols>
  <sheetData>
    <row r="1" spans="1:15" ht="15.75" thickBot="1" x14ac:dyDescent="0.3">
      <c r="A1" s="84" t="s">
        <v>15</v>
      </c>
      <c r="B1" s="91"/>
      <c r="C1" s="91"/>
      <c r="D1" s="91"/>
      <c r="E1" s="91"/>
      <c r="F1" s="91"/>
      <c r="G1" s="91"/>
      <c r="H1" s="91"/>
      <c r="I1" s="91"/>
      <c r="J1" s="91"/>
      <c r="K1" s="91"/>
      <c r="L1" s="85"/>
    </row>
    <row r="2" spans="1:15" ht="15.75" thickBot="1" x14ac:dyDescent="0.3">
      <c r="A2" s="11" t="s">
        <v>16</v>
      </c>
      <c r="B2" s="12" t="s">
        <v>17</v>
      </c>
      <c r="C2" s="13" t="s">
        <v>18</v>
      </c>
      <c r="D2" s="13" t="s">
        <v>19</v>
      </c>
      <c r="E2" s="13" t="s">
        <v>20</v>
      </c>
      <c r="F2" s="13" t="s">
        <v>21</v>
      </c>
      <c r="G2" s="13" t="s">
        <v>22</v>
      </c>
      <c r="H2" s="13" t="s">
        <v>23</v>
      </c>
      <c r="I2" s="13" t="s">
        <v>24</v>
      </c>
      <c r="J2" s="13" t="s">
        <v>25</v>
      </c>
      <c r="K2" s="13" t="s">
        <v>26</v>
      </c>
      <c r="L2" s="14" t="s">
        <v>27</v>
      </c>
      <c r="N2" s="84" t="s">
        <v>4</v>
      </c>
      <c r="O2" s="85"/>
    </row>
    <row r="3" spans="1:15" x14ac:dyDescent="0.25">
      <c r="A3" s="15" t="s">
        <v>28</v>
      </c>
      <c r="B3" s="16">
        <v>15</v>
      </c>
      <c r="C3" s="16">
        <v>298</v>
      </c>
      <c r="D3" s="16">
        <f>ROUNDUP(10*31*1.18,0)</f>
        <v>366</v>
      </c>
      <c r="E3" s="17">
        <f>D3/$O$5/1000</f>
        <v>1.4076923076923076</v>
      </c>
      <c r="F3" s="17">
        <f>B3*$O$11/$O$6/C3*$O$5*1000</f>
        <v>1211.2323396804063</v>
      </c>
      <c r="G3" s="17">
        <f>B3*$O$12/$O$6/C3*$O$5*1000</f>
        <v>1840.6883725598993</v>
      </c>
      <c r="H3" s="17">
        <f>B3*D3/($O$6*C3)</f>
        <v>58.875775117274323</v>
      </c>
      <c r="I3" s="17">
        <f>E3</f>
        <v>1.4076923076923076</v>
      </c>
      <c r="J3" s="17">
        <f>I3*F3</f>
        <v>1705.0424473962642</v>
      </c>
      <c r="K3" s="18">
        <v>0</v>
      </c>
      <c r="L3" s="19">
        <v>0</v>
      </c>
      <c r="N3" s="5" t="s">
        <v>5</v>
      </c>
      <c r="O3" s="6">
        <v>8.3000000000000004E-2</v>
      </c>
    </row>
    <row r="4" spans="1:15" x14ac:dyDescent="0.25">
      <c r="A4" s="20" t="s">
        <v>29</v>
      </c>
      <c r="B4" s="21">
        <v>15</v>
      </c>
      <c r="C4" s="21">
        <v>298</v>
      </c>
      <c r="D4" s="21">
        <f>D3</f>
        <v>366</v>
      </c>
      <c r="E4" s="22">
        <f t="shared" ref="E4:E5" si="0">D4/$O$5/1000</f>
        <v>1.4076923076923076</v>
      </c>
      <c r="F4" s="22">
        <f>B4*$O$11/$O$6/C4*$O$5*1000</f>
        <v>1211.2323396804063</v>
      </c>
      <c r="G4" s="22">
        <f>B4*$O$12/$O$6/C4*$O$5*1000</f>
        <v>1840.6883725598993</v>
      </c>
      <c r="H4" s="17">
        <f>B4*D4/($O$6*C4)</f>
        <v>58.875775117274323</v>
      </c>
      <c r="I4" s="22">
        <f>(D4-E8)/O5/1000</f>
        <v>0</v>
      </c>
      <c r="J4" s="22">
        <f>I4*F4</f>
        <v>0</v>
      </c>
      <c r="K4" s="22">
        <f>E4-I4</f>
        <v>1.4076923076923076</v>
      </c>
      <c r="L4" s="23">
        <f>K4*G4</f>
        <v>2591.1228629112429</v>
      </c>
      <c r="N4" s="7" t="s">
        <v>6</v>
      </c>
      <c r="O4" s="8">
        <v>14.5</v>
      </c>
    </row>
    <row r="5" spans="1:15" ht="15.75" thickBot="1" x14ac:dyDescent="0.3">
      <c r="A5" s="24" t="s">
        <v>30</v>
      </c>
      <c r="B5" s="25">
        <v>25</v>
      </c>
      <c r="C5" s="25">
        <v>298</v>
      </c>
      <c r="D5" s="25">
        <f>D3</f>
        <v>366</v>
      </c>
      <c r="E5" s="26">
        <f t="shared" si="0"/>
        <v>1.4076923076923076</v>
      </c>
      <c r="F5" s="26">
        <f>B5*$O$11/$O$6/C5*$O$5*1000</f>
        <v>2018.7205661340108</v>
      </c>
      <c r="G5" s="26">
        <f>B5*$O$12/$O$6/C5*$O$5*1000</f>
        <v>3067.8139542664985</v>
      </c>
      <c r="H5" s="27">
        <f>B5*D5/($O$6*C5)</f>
        <v>98.126291862123878</v>
      </c>
      <c r="I5" s="26">
        <f>J5/F5</f>
        <v>0</v>
      </c>
      <c r="J5" s="26">
        <f>J4</f>
        <v>0</v>
      </c>
      <c r="K5" s="26">
        <f>E5-I5</f>
        <v>1.4076923076923076</v>
      </c>
      <c r="L5" s="28">
        <f>G5*K5</f>
        <v>4318.5381048520703</v>
      </c>
      <c r="N5" s="7" t="s">
        <v>7</v>
      </c>
      <c r="O5" s="8">
        <v>0.26</v>
      </c>
    </row>
    <row r="6" spans="1:15" ht="15.75" thickBot="1" x14ac:dyDescent="0.3">
      <c r="A6" s="92" t="s">
        <v>31</v>
      </c>
      <c r="B6" s="93"/>
      <c r="C6" s="93"/>
      <c r="D6" s="93"/>
      <c r="E6" s="93"/>
      <c r="F6" s="93"/>
      <c r="G6" s="93"/>
      <c r="H6" s="93"/>
      <c r="I6" s="93"/>
      <c r="J6" s="93"/>
      <c r="K6" s="93"/>
      <c r="L6" s="94"/>
      <c r="N6" s="7" t="s">
        <v>8</v>
      </c>
      <c r="O6" s="8">
        <f>O3*O4*O5</f>
        <v>0.31291000000000002</v>
      </c>
    </row>
    <row r="7" spans="1:15" ht="15.75" thickBot="1" x14ac:dyDescent="0.3">
      <c r="A7" s="29" t="s">
        <v>16</v>
      </c>
      <c r="B7" s="12" t="s">
        <v>32</v>
      </c>
      <c r="C7" s="13" t="s">
        <v>33</v>
      </c>
      <c r="D7" s="13" t="s">
        <v>34</v>
      </c>
      <c r="E7" s="13" t="s">
        <v>35</v>
      </c>
      <c r="F7" s="13" t="s">
        <v>36</v>
      </c>
      <c r="G7" s="13" t="s">
        <v>37</v>
      </c>
      <c r="H7" s="13" t="s">
        <v>38</v>
      </c>
      <c r="I7" s="13" t="s">
        <v>39</v>
      </c>
      <c r="J7" s="13" t="s">
        <v>40</v>
      </c>
      <c r="K7" s="13"/>
      <c r="L7" s="14"/>
      <c r="N7" s="7" t="s">
        <v>9</v>
      </c>
      <c r="O7" s="8">
        <v>1.96</v>
      </c>
    </row>
    <row r="8" spans="1:15" ht="15.75" thickBot="1" x14ac:dyDescent="0.3">
      <c r="A8" s="30" t="s">
        <v>41</v>
      </c>
      <c r="B8" s="31">
        <v>15</v>
      </c>
      <c r="C8" s="31">
        <v>25</v>
      </c>
      <c r="D8" s="32">
        <f>B8*C8</f>
        <v>375</v>
      </c>
      <c r="E8" s="33">
        <f>IF((D3-D8)&lt;=0,D3,D8)</f>
        <v>366</v>
      </c>
      <c r="F8" s="33">
        <f>IF((D8-D3)&gt;=0,D8-D3,0)</f>
        <v>9</v>
      </c>
      <c r="G8" s="33">
        <f>D8-F8</f>
        <v>366</v>
      </c>
      <c r="H8" s="33">
        <f>G8/O5/1000*G4</f>
        <v>2591.1228629112429</v>
      </c>
      <c r="I8" s="34">
        <f>F8/O5/1000*G4</f>
        <v>63.716135973227274</v>
      </c>
      <c r="J8" s="34">
        <f>D8/O5/1000*G4</f>
        <v>2654.8389988844697</v>
      </c>
      <c r="K8" s="35"/>
      <c r="L8" s="36"/>
      <c r="N8" s="7" t="s">
        <v>10</v>
      </c>
      <c r="O8" s="8">
        <v>1000</v>
      </c>
    </row>
    <row r="9" spans="1:15" ht="15.75" thickBot="1" x14ac:dyDescent="0.3">
      <c r="N9" s="7" t="s">
        <v>11</v>
      </c>
      <c r="O9" s="8">
        <v>1</v>
      </c>
    </row>
    <row r="10" spans="1:15" ht="15.75" thickBot="1" x14ac:dyDescent="0.3">
      <c r="A10" s="84" t="s">
        <v>42</v>
      </c>
      <c r="B10" s="91"/>
      <c r="C10" s="91"/>
      <c r="D10" s="91"/>
      <c r="E10" s="91"/>
      <c r="F10" s="91"/>
      <c r="G10" s="91"/>
      <c r="H10" s="91"/>
      <c r="I10" s="91"/>
      <c r="J10" s="91"/>
      <c r="K10" s="91"/>
      <c r="L10" s="85"/>
      <c r="N10" s="7" t="s">
        <v>12</v>
      </c>
      <c r="O10" s="8">
        <f>10*31</f>
        <v>310</v>
      </c>
    </row>
    <row r="11" spans="1:15" ht="15.75" thickBot="1" x14ac:dyDescent="0.3">
      <c r="A11" s="37" t="s">
        <v>16</v>
      </c>
      <c r="B11" s="38" t="s">
        <v>17</v>
      </c>
      <c r="C11" s="38" t="s">
        <v>18</v>
      </c>
      <c r="D11" s="38" t="s">
        <v>19</v>
      </c>
      <c r="E11" s="38" t="s">
        <v>43</v>
      </c>
      <c r="F11" s="38" t="s">
        <v>44</v>
      </c>
      <c r="G11" s="38" t="s">
        <v>45</v>
      </c>
      <c r="H11" s="38" t="s">
        <v>46</v>
      </c>
      <c r="I11" s="38" t="s">
        <v>25</v>
      </c>
      <c r="J11" s="38" t="s">
        <v>47</v>
      </c>
      <c r="K11" s="38" t="s">
        <v>48</v>
      </c>
      <c r="L11" s="39" t="s">
        <v>49</v>
      </c>
      <c r="N11" s="7" t="s">
        <v>13</v>
      </c>
      <c r="O11" s="8">
        <v>28.96</v>
      </c>
    </row>
    <row r="12" spans="1:15" ht="15.75" thickBot="1" x14ac:dyDescent="0.3">
      <c r="A12" s="15" t="s">
        <v>50</v>
      </c>
      <c r="B12" s="40">
        <v>25</v>
      </c>
      <c r="C12" s="40">
        <v>298</v>
      </c>
      <c r="D12" s="40">
        <f>D5</f>
        <v>366</v>
      </c>
      <c r="E12" s="41">
        <f>B12*D12/(C12*$O$6)</f>
        <v>98.126291862123878</v>
      </c>
      <c r="F12" s="41">
        <f>H12/E12</f>
        <v>0</v>
      </c>
      <c r="G12" s="41">
        <f>J12/E12</f>
        <v>0.99999999999999967</v>
      </c>
      <c r="H12" s="41">
        <f>I12/O11</f>
        <v>0</v>
      </c>
      <c r="I12" s="42">
        <f>J5</f>
        <v>0</v>
      </c>
      <c r="J12" s="41">
        <f>K12/O12</f>
        <v>98.12629186212385</v>
      </c>
      <c r="K12" s="42">
        <f>L5</f>
        <v>4318.5381048520703</v>
      </c>
      <c r="L12" s="43">
        <v>0</v>
      </c>
      <c r="N12" s="9" t="s">
        <v>14</v>
      </c>
      <c r="O12" s="10">
        <v>44.01</v>
      </c>
    </row>
    <row r="13" spans="1:15" ht="15.75" thickBot="1" x14ac:dyDescent="0.3">
      <c r="A13" s="44" t="s">
        <v>51</v>
      </c>
      <c r="B13" s="45">
        <v>25</v>
      </c>
      <c r="C13" s="45">
        <v>298</v>
      </c>
      <c r="D13" s="46">
        <f>D12-O10</f>
        <v>56</v>
      </c>
      <c r="E13" s="47">
        <f>B13*D13/(C13*$O$6)</f>
        <v>15.013858864150102</v>
      </c>
      <c r="F13" s="47">
        <f>F12</f>
        <v>0</v>
      </c>
      <c r="G13" s="47">
        <f>G12</f>
        <v>0.99999999999999967</v>
      </c>
      <c r="H13" s="47">
        <f>F13*E13</f>
        <v>0</v>
      </c>
      <c r="I13" s="47">
        <f>H13*$O$11</f>
        <v>0</v>
      </c>
      <c r="J13" s="47">
        <f>G13*E13</f>
        <v>15.013858864150096</v>
      </c>
      <c r="K13" s="47">
        <f>J13*$O$12</f>
        <v>660.75992861124575</v>
      </c>
      <c r="L13" s="48">
        <f>K12-K13</f>
        <v>3657.7781762408245</v>
      </c>
    </row>
    <row r="14" spans="1:15" ht="15.75" thickBot="1" x14ac:dyDescent="0.3">
      <c r="N14" s="1" t="s">
        <v>0</v>
      </c>
    </row>
    <row r="15" spans="1:15" ht="15.75" thickBot="1" x14ac:dyDescent="0.3">
      <c r="A15" s="92" t="s">
        <v>52</v>
      </c>
      <c r="B15" s="93"/>
      <c r="C15" s="93"/>
      <c r="D15" s="93"/>
      <c r="E15" s="94"/>
      <c r="N15" s="2" t="s">
        <v>1</v>
      </c>
    </row>
    <row r="16" spans="1:15" ht="15.75" thickBot="1" x14ac:dyDescent="0.3">
      <c r="A16" s="37" t="s">
        <v>16</v>
      </c>
      <c r="B16" s="38" t="s">
        <v>53</v>
      </c>
      <c r="C16" s="38" t="s">
        <v>54</v>
      </c>
      <c r="D16" s="38" t="s">
        <v>55</v>
      </c>
      <c r="E16" s="39" t="s">
        <v>56</v>
      </c>
      <c r="N16" s="3" t="s">
        <v>2</v>
      </c>
    </row>
    <row r="17" spans="1:14" ht="15.75" thickBot="1" x14ac:dyDescent="0.3">
      <c r="A17" s="15" t="s">
        <v>57</v>
      </c>
      <c r="B17" s="40">
        <v>0.88</v>
      </c>
      <c r="C17" s="40">
        <f>B17*$O$7</f>
        <v>1.7247999999999999</v>
      </c>
      <c r="D17" s="49"/>
      <c r="E17" s="50"/>
      <c r="N17" s="4" t="s">
        <v>3</v>
      </c>
    </row>
    <row r="18" spans="1:14" x14ac:dyDescent="0.25">
      <c r="A18" s="20" t="s">
        <v>58</v>
      </c>
      <c r="B18" s="21">
        <v>2.5</v>
      </c>
      <c r="C18" s="21">
        <f>B18*$O$7</f>
        <v>4.9000000000000004</v>
      </c>
      <c r="D18" s="51"/>
      <c r="E18" s="8"/>
    </row>
    <row r="19" spans="1:14" ht="15.75" thickBot="1" x14ac:dyDescent="0.3">
      <c r="A19" s="44" t="s">
        <v>59</v>
      </c>
      <c r="B19" s="52"/>
      <c r="C19" s="52"/>
      <c r="D19" s="53">
        <f>C18-C17</f>
        <v>3.1752000000000002</v>
      </c>
      <c r="E19" s="48">
        <f>D19*O10/O5</f>
        <v>3785.815384615385</v>
      </c>
    </row>
    <row r="20" spans="1:14" ht="15.75" thickBot="1" x14ac:dyDescent="0.3"/>
    <row r="21" spans="1:14" ht="15.75" thickBot="1" x14ac:dyDescent="0.3">
      <c r="A21" s="84" t="s">
        <v>60</v>
      </c>
      <c r="B21" s="91"/>
      <c r="C21" s="91"/>
      <c r="D21" s="91"/>
      <c r="E21" s="91"/>
      <c r="F21" s="91"/>
      <c r="G21" s="91"/>
      <c r="H21" s="91"/>
      <c r="I21" s="91"/>
      <c r="J21" s="91"/>
      <c r="K21" s="91"/>
      <c r="L21" s="85"/>
    </row>
    <row r="22" spans="1:14" ht="15.75" thickBot="1" x14ac:dyDescent="0.3">
      <c r="A22" s="37" t="s">
        <v>16</v>
      </c>
      <c r="B22" s="38" t="s">
        <v>17</v>
      </c>
      <c r="C22" s="38" t="s">
        <v>18</v>
      </c>
      <c r="D22" s="38" t="s">
        <v>19</v>
      </c>
      <c r="E22" s="38" t="s">
        <v>43</v>
      </c>
      <c r="F22" s="38" t="s">
        <v>44</v>
      </c>
      <c r="G22" s="38" t="s">
        <v>45</v>
      </c>
      <c r="H22" s="38" t="s">
        <v>46</v>
      </c>
      <c r="I22" s="38" t="s">
        <v>25</v>
      </c>
      <c r="J22" s="38" t="s">
        <v>47</v>
      </c>
      <c r="K22" s="38" t="s">
        <v>48</v>
      </c>
      <c r="L22" s="39" t="s">
        <v>61</v>
      </c>
    </row>
    <row r="23" spans="1:14" x14ac:dyDescent="0.25">
      <c r="A23" s="15" t="s">
        <v>62</v>
      </c>
      <c r="B23" s="40">
        <v>25</v>
      </c>
      <c r="C23" s="40">
        <v>298</v>
      </c>
      <c r="D23" s="42">
        <f>D13</f>
        <v>56</v>
      </c>
      <c r="E23" s="41">
        <f>B23*D23/(C23*$O$6)</f>
        <v>15.013858864150102</v>
      </c>
      <c r="F23" s="42">
        <f>F13</f>
        <v>0</v>
      </c>
      <c r="G23" s="42">
        <f>G13</f>
        <v>0.99999999999999967</v>
      </c>
      <c r="H23" s="41">
        <f>F23*E23</f>
        <v>0</v>
      </c>
      <c r="I23" s="41">
        <f>H23*$O$11</f>
        <v>0</v>
      </c>
      <c r="J23" s="41">
        <f>G23*E23</f>
        <v>15.013858864150096</v>
      </c>
      <c r="K23" s="41">
        <f>J23*$O$12</f>
        <v>660.75992861124575</v>
      </c>
      <c r="L23" s="43">
        <v>0</v>
      </c>
    </row>
    <row r="24" spans="1:14" ht="15.75" thickBot="1" x14ac:dyDescent="0.3">
      <c r="A24" s="44" t="s">
        <v>63</v>
      </c>
      <c r="B24" s="45">
        <v>25</v>
      </c>
      <c r="C24" s="45">
        <v>298</v>
      </c>
      <c r="D24" s="46">
        <f>D23+O10</f>
        <v>366</v>
      </c>
      <c r="E24" s="47">
        <f>B24*D24/(C24*$O$6)</f>
        <v>98.126291862123878</v>
      </c>
      <c r="F24" s="47">
        <f>H24/E24</f>
        <v>0</v>
      </c>
      <c r="G24" s="47">
        <f>J24/E24</f>
        <v>1</v>
      </c>
      <c r="H24" s="47">
        <f>H23</f>
        <v>0</v>
      </c>
      <c r="I24" s="47">
        <f t="shared" ref="I24" si="1">H24*$O$11</f>
        <v>0</v>
      </c>
      <c r="J24" s="47">
        <f>E24-H24</f>
        <v>98.126291862123878</v>
      </c>
      <c r="K24" s="47">
        <f t="shared" ref="K24" si="2">J24*$O$12</f>
        <v>4318.5381048520721</v>
      </c>
      <c r="L24" s="48">
        <f>K24</f>
        <v>4318.5381048520721</v>
      </c>
    </row>
    <row r="25" spans="1:14" ht="15.75" thickBot="1" x14ac:dyDescent="0.3"/>
    <row r="26" spans="1:14" ht="15.75" thickBot="1" x14ac:dyDescent="0.3">
      <c r="A26" s="88" t="s">
        <v>64</v>
      </c>
      <c r="B26" s="89"/>
      <c r="C26" s="89"/>
      <c r="D26" s="89"/>
      <c r="E26" s="89"/>
      <c r="F26" s="89"/>
      <c r="G26" s="90"/>
    </row>
    <row r="27" spans="1:14" ht="15.75" thickBot="1" x14ac:dyDescent="0.3">
      <c r="A27" s="37" t="s">
        <v>65</v>
      </c>
      <c r="B27" s="38" t="s">
        <v>66</v>
      </c>
      <c r="C27" s="38" t="s">
        <v>67</v>
      </c>
      <c r="D27" s="38" t="s">
        <v>68</v>
      </c>
      <c r="E27" s="38" t="s">
        <v>69</v>
      </c>
      <c r="F27" s="38" t="s">
        <v>70</v>
      </c>
      <c r="G27" s="39" t="s">
        <v>71</v>
      </c>
    </row>
    <row r="28" spans="1:14" x14ac:dyDescent="0.25">
      <c r="A28" s="15" t="s">
        <v>72</v>
      </c>
      <c r="B28" s="41">
        <f>J8+(L5-L4)</f>
        <v>4382.2542408252975</v>
      </c>
      <c r="C28" s="41">
        <f>B28/$O$8</f>
        <v>4.3822542408252971</v>
      </c>
      <c r="D28" s="41">
        <f>I8</f>
        <v>63.716135973227274</v>
      </c>
      <c r="E28" s="41">
        <f>D28/$O$8</f>
        <v>6.371613597322727E-2</v>
      </c>
      <c r="F28" s="41">
        <v>0</v>
      </c>
      <c r="G28" s="54">
        <f>F28/O8</f>
        <v>0</v>
      </c>
    </row>
    <row r="29" spans="1:14" x14ac:dyDescent="0.25">
      <c r="A29" s="20" t="s">
        <v>73</v>
      </c>
      <c r="B29" s="22">
        <v>0</v>
      </c>
      <c r="C29" s="22">
        <f t="shared" ref="C29:C32" si="3">B29/$O$8</f>
        <v>0</v>
      </c>
      <c r="D29" s="22">
        <f>L13</f>
        <v>3657.7781762408245</v>
      </c>
      <c r="E29" s="22">
        <f t="shared" ref="E29:E33" si="4">D29/$O$8</f>
        <v>3.6577781762408246</v>
      </c>
      <c r="F29" s="22">
        <v>0</v>
      </c>
      <c r="G29" s="55">
        <f>F29/O8</f>
        <v>0</v>
      </c>
    </row>
    <row r="30" spans="1:14" x14ac:dyDescent="0.25">
      <c r="A30" s="20" t="s">
        <v>74</v>
      </c>
      <c r="B30" s="22">
        <f>E19</f>
        <v>3785.815384615385</v>
      </c>
      <c r="C30" s="22">
        <f t="shared" si="3"/>
        <v>3.7858153846153852</v>
      </c>
      <c r="D30" s="22">
        <v>0</v>
      </c>
      <c r="E30" s="22">
        <f t="shared" si="4"/>
        <v>0</v>
      </c>
      <c r="F30" s="22">
        <f>E19</f>
        <v>3785.815384615385</v>
      </c>
      <c r="G30" s="55">
        <f>F30/O8</f>
        <v>3.7858153846153852</v>
      </c>
    </row>
    <row r="31" spans="1:14" x14ac:dyDescent="0.25">
      <c r="A31" s="20" t="s">
        <v>75</v>
      </c>
      <c r="B31" s="22">
        <f>K24-K23</f>
        <v>3657.7781762408263</v>
      </c>
      <c r="C31" s="22">
        <f t="shared" si="3"/>
        <v>3.6577781762408264</v>
      </c>
      <c r="D31" s="22">
        <v>0</v>
      </c>
      <c r="E31" s="22">
        <f t="shared" si="4"/>
        <v>0</v>
      </c>
      <c r="F31" s="22">
        <v>0</v>
      </c>
      <c r="G31" s="55">
        <f>F31/O8</f>
        <v>0</v>
      </c>
    </row>
    <row r="32" spans="1:14" ht="15.75" thickBot="1" x14ac:dyDescent="0.3">
      <c r="A32" s="44" t="s">
        <v>76</v>
      </c>
      <c r="B32" s="47">
        <f>0</f>
        <v>0</v>
      </c>
      <c r="C32" s="47">
        <f t="shared" si="3"/>
        <v>0</v>
      </c>
      <c r="D32" s="47">
        <f>L24</f>
        <v>4318.5381048520721</v>
      </c>
      <c r="E32" s="47">
        <f t="shared" si="4"/>
        <v>4.3185381048520721</v>
      </c>
      <c r="F32" s="47">
        <v>0</v>
      </c>
      <c r="G32" s="56">
        <f>F32/O8</f>
        <v>0</v>
      </c>
    </row>
    <row r="33" spans="1:7" ht="15.75" thickBot="1" x14ac:dyDescent="0.3">
      <c r="A33" s="12" t="s">
        <v>77</v>
      </c>
      <c r="B33" s="57">
        <f>SUM(B28:B32)</f>
        <v>11825.84780168151</v>
      </c>
      <c r="C33" s="57">
        <f>B33/$O$8</f>
        <v>11.82584780168151</v>
      </c>
      <c r="D33" s="57">
        <f>SUM(D28:D32)</f>
        <v>8040.0324170661243</v>
      </c>
      <c r="E33" s="57">
        <f t="shared" si="4"/>
        <v>8.0400324170661239</v>
      </c>
      <c r="F33" s="57">
        <f>SUM(F28:F32)</f>
        <v>3785.815384615385</v>
      </c>
      <c r="G33" s="58">
        <f>F33/O8</f>
        <v>3.7858153846153852</v>
      </c>
    </row>
  </sheetData>
  <mergeCells count="7">
    <mergeCell ref="A26:G26"/>
    <mergeCell ref="A1:L1"/>
    <mergeCell ref="N2:O2"/>
    <mergeCell ref="A6:L6"/>
    <mergeCell ref="A10:L10"/>
    <mergeCell ref="A15:E15"/>
    <mergeCell ref="A21:L2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95DD1-EE68-49B4-B441-D8773B2A22DC}">
  <dimension ref="A1:O30"/>
  <sheetViews>
    <sheetView workbookViewId="0">
      <selection sqref="A1:XFD1048576"/>
    </sheetView>
  </sheetViews>
  <sheetFormatPr defaultRowHeight="15" x14ac:dyDescent="0.25"/>
  <cols>
    <col min="1" max="1" width="30.28515625" bestFit="1" customWidth="1"/>
    <col min="2" max="2" width="22.85546875" bestFit="1" customWidth="1"/>
    <col min="3" max="3" width="22.42578125" bestFit="1" customWidth="1"/>
    <col min="4" max="4" width="19" bestFit="1" customWidth="1"/>
    <col min="5" max="5" width="18.7109375" bestFit="1" customWidth="1"/>
    <col min="6" max="6" width="26.28515625" bestFit="1" customWidth="1"/>
    <col min="7" max="7" width="29" bestFit="1" customWidth="1"/>
    <col min="8" max="8" width="27.7109375" bestFit="1" customWidth="1"/>
    <col min="9" max="9" width="31.42578125" bestFit="1" customWidth="1"/>
    <col min="10" max="10" width="23.85546875" bestFit="1" customWidth="1"/>
    <col min="11" max="11" width="14.28515625" bestFit="1" customWidth="1"/>
    <col min="12" max="12" width="15.28515625" bestFit="1" customWidth="1"/>
    <col min="14" max="14" width="24.42578125" bestFit="1" customWidth="1"/>
    <col min="15" max="15" width="12.5703125" bestFit="1" customWidth="1"/>
  </cols>
  <sheetData>
    <row r="1" spans="1:15" ht="15.75" thickBot="1" x14ac:dyDescent="0.3">
      <c r="A1" s="81" t="s">
        <v>94</v>
      </c>
      <c r="B1" s="82"/>
      <c r="C1" s="82"/>
      <c r="D1" s="82"/>
      <c r="E1" s="82"/>
      <c r="F1" s="82"/>
      <c r="G1" s="82"/>
      <c r="H1" s="82"/>
      <c r="I1" s="82"/>
      <c r="J1" s="82"/>
      <c r="K1" s="82"/>
      <c r="L1" s="83"/>
    </row>
    <row r="2" spans="1:15" ht="15.75" thickBot="1" x14ac:dyDescent="0.3">
      <c r="A2" s="37" t="s">
        <v>95</v>
      </c>
      <c r="B2" s="38" t="s">
        <v>96</v>
      </c>
      <c r="C2" s="38" t="s">
        <v>97</v>
      </c>
      <c r="D2" s="38" t="s">
        <v>98</v>
      </c>
      <c r="E2" s="38" t="s">
        <v>99</v>
      </c>
      <c r="F2" s="38" t="s">
        <v>100</v>
      </c>
      <c r="G2" s="38" t="s">
        <v>101</v>
      </c>
      <c r="H2" s="38" t="s">
        <v>102</v>
      </c>
      <c r="I2" s="38" t="s">
        <v>103</v>
      </c>
      <c r="J2" s="38" t="s">
        <v>104</v>
      </c>
      <c r="K2" s="38" t="s">
        <v>105</v>
      </c>
      <c r="L2" s="39" t="s">
        <v>106</v>
      </c>
      <c r="N2" s="84" t="s">
        <v>78</v>
      </c>
      <c r="O2" s="85"/>
    </row>
    <row r="3" spans="1:15" ht="15.75" thickBot="1" x14ac:dyDescent="0.3">
      <c r="A3" s="12" t="s">
        <v>107</v>
      </c>
      <c r="B3" s="63">
        <v>1</v>
      </c>
      <c r="C3" s="64">
        <f>B3*O22</f>
        <v>2.5399999999999999E-2</v>
      </c>
      <c r="D3" s="63">
        <v>1.25</v>
      </c>
      <c r="E3" s="63">
        <v>5</v>
      </c>
      <c r="F3" s="64">
        <f>E3*O23</f>
        <v>1.524</v>
      </c>
      <c r="G3" s="63" t="s">
        <v>108</v>
      </c>
      <c r="H3" s="64">
        <f>O8/(PI()*C3^2/4)</f>
        <v>0.24918247997348297</v>
      </c>
      <c r="I3" s="64">
        <f>H3*C3/O6</f>
        <v>2637.1812463860283</v>
      </c>
      <c r="J3" s="65">
        <f>0.002/1000/C3</f>
        <v>7.8740157480314957E-5</v>
      </c>
      <c r="K3" s="64">
        <f>16/I3</f>
        <v>6.0670839449985733E-3</v>
      </c>
      <c r="L3" s="66">
        <f>K3*4*F3/C3</f>
        <v>1.4561001467996577</v>
      </c>
      <c r="N3" s="59" t="s">
        <v>18</v>
      </c>
      <c r="O3" s="6">
        <v>298</v>
      </c>
    </row>
    <row r="4" spans="1:15" ht="15.75" thickBot="1" x14ac:dyDescent="0.3">
      <c r="N4" s="20" t="s">
        <v>79</v>
      </c>
      <c r="O4" s="8">
        <v>1000</v>
      </c>
    </row>
    <row r="5" spans="1:15" ht="15.75" thickBot="1" x14ac:dyDescent="0.3">
      <c r="A5" s="81" t="s">
        <v>109</v>
      </c>
      <c r="B5" s="82"/>
      <c r="C5" s="82"/>
      <c r="D5" s="82"/>
      <c r="E5" s="82"/>
      <c r="F5" s="82"/>
      <c r="G5" s="82"/>
      <c r="H5" s="82"/>
      <c r="I5" s="83"/>
      <c r="N5" s="20" t="s">
        <v>80</v>
      </c>
      <c r="O5" s="60">
        <f>2.4*10^-3</f>
        <v>2.3999999999999998E-3</v>
      </c>
    </row>
    <row r="6" spans="1:15" ht="15.75" thickBot="1" x14ac:dyDescent="0.3">
      <c r="A6" s="12" t="s">
        <v>16</v>
      </c>
      <c r="B6" s="13" t="s">
        <v>110</v>
      </c>
      <c r="C6" s="13" t="s">
        <v>111</v>
      </c>
      <c r="D6" s="13" t="s">
        <v>112</v>
      </c>
      <c r="E6" s="13" t="s">
        <v>113</v>
      </c>
      <c r="F6" s="13" t="s">
        <v>114</v>
      </c>
      <c r="G6" s="13" t="s">
        <v>115</v>
      </c>
      <c r="H6" s="13" t="s">
        <v>116</v>
      </c>
      <c r="I6" s="14" t="s">
        <v>117</v>
      </c>
      <c r="N6" s="20" t="s">
        <v>81</v>
      </c>
      <c r="O6" s="60">
        <f>O5/O4</f>
        <v>2.3999999999999999E-6</v>
      </c>
    </row>
    <row r="7" spans="1:15" ht="15.75" thickBot="1" x14ac:dyDescent="0.3">
      <c r="A7" s="30" t="s">
        <v>118</v>
      </c>
      <c r="B7" s="31">
        <v>10</v>
      </c>
      <c r="C7" s="32">
        <f>B7*O25</f>
        <v>68948</v>
      </c>
      <c r="D7" s="32">
        <f>C7/O4/O21</f>
        <v>7.0355102040816311</v>
      </c>
      <c r="E7" s="31">
        <v>0</v>
      </c>
      <c r="F7" s="32">
        <f>E7*O23</f>
        <v>0</v>
      </c>
      <c r="G7" s="32">
        <f>L3/C3^4</f>
        <v>3498294.5958505683</v>
      </c>
      <c r="H7" s="67">
        <f>G7*8*O8^2/(O21*PI()^2)</f>
        <v>4.6128590218456108E-3</v>
      </c>
      <c r="I7" s="68">
        <f>H7+F7+D7</f>
        <v>7.0401230631034766</v>
      </c>
      <c r="N7" s="20" t="s">
        <v>82</v>
      </c>
      <c r="O7" s="8">
        <v>2</v>
      </c>
    </row>
    <row r="8" spans="1:15" ht="15.75" thickBot="1" x14ac:dyDescent="0.3">
      <c r="N8" s="20" t="s">
        <v>83</v>
      </c>
      <c r="O8" s="60">
        <f>O7/O16*O18/O20</f>
        <v>1.2626262626262626E-4</v>
      </c>
    </row>
    <row r="9" spans="1:15" ht="15.75" thickBot="1" x14ac:dyDescent="0.3">
      <c r="A9" s="81" t="s">
        <v>119</v>
      </c>
      <c r="B9" s="82"/>
      <c r="C9" s="82"/>
      <c r="D9" s="82"/>
      <c r="E9" s="82"/>
      <c r="F9" s="82"/>
      <c r="G9" s="82"/>
      <c r="H9" s="82"/>
      <c r="I9" s="83"/>
      <c r="N9" s="44" t="s">
        <v>84</v>
      </c>
      <c r="O9" s="10">
        <f>O8*O4</f>
        <v>0.12626262626262627</v>
      </c>
    </row>
    <row r="10" spans="1:15" ht="15.75" thickBot="1" x14ac:dyDescent="0.3">
      <c r="A10" s="69" t="s">
        <v>120</v>
      </c>
      <c r="B10" s="70" t="s">
        <v>121</v>
      </c>
      <c r="C10" s="70" t="s">
        <v>122</v>
      </c>
      <c r="D10" s="70" t="s">
        <v>123</v>
      </c>
      <c r="E10" s="70" t="s">
        <v>124</v>
      </c>
      <c r="F10" s="70" t="s">
        <v>125</v>
      </c>
      <c r="G10" s="70" t="s">
        <v>126</v>
      </c>
      <c r="H10" s="70" t="s">
        <v>127</v>
      </c>
      <c r="I10" s="71" t="s">
        <v>128</v>
      </c>
    </row>
    <row r="11" spans="1:15" ht="15.75" thickBot="1" x14ac:dyDescent="0.3">
      <c r="A11" s="72" t="s">
        <v>41</v>
      </c>
      <c r="B11" s="42">
        <v>0.7</v>
      </c>
      <c r="C11" s="41">
        <f>I7*O21*O4*O8/B11</f>
        <v>12.44466198023342</v>
      </c>
      <c r="D11" s="73" t="s">
        <v>129</v>
      </c>
      <c r="E11" s="73" t="s">
        <v>129</v>
      </c>
      <c r="F11" s="42">
        <f>O9</f>
        <v>0.12626262626262627</v>
      </c>
      <c r="G11" s="74">
        <f>C11/F11</f>
        <v>98.561722883448681</v>
      </c>
      <c r="H11" s="75">
        <f>C11/1000/F11/3600</f>
        <v>2.7378256356513523E-5</v>
      </c>
      <c r="I11" s="76">
        <f>H11*O24</f>
        <v>3.2148710115603003E-2</v>
      </c>
      <c r="N11" s="86" t="s">
        <v>85</v>
      </c>
      <c r="O11" s="87"/>
    </row>
    <row r="12" spans="1:15" ht="15.75" thickBot="1" x14ac:dyDescent="0.3">
      <c r="A12" s="9" t="s">
        <v>130</v>
      </c>
      <c r="B12" s="46">
        <v>0.7</v>
      </c>
      <c r="C12" s="46">
        <f>240*10/B12</f>
        <v>3428.5714285714289</v>
      </c>
      <c r="D12" s="46">
        <v>72</v>
      </c>
      <c r="E12" s="47">
        <f>D12*3600</f>
        <v>259200</v>
      </c>
      <c r="F12" s="77">
        <f>O14/O16*O18*O4/E12</f>
        <v>4.5302562663673777E-3</v>
      </c>
      <c r="G12" s="78">
        <f>C12/F12</f>
        <v>756816.22119815671</v>
      </c>
      <c r="H12" s="77">
        <f>C12/1000/F12/3600</f>
        <v>0.21022672811059906</v>
      </c>
      <c r="I12" s="79">
        <f>H12*O24</f>
        <v>246.85714285714283</v>
      </c>
      <c r="N12" s="5" t="s">
        <v>5</v>
      </c>
      <c r="O12" s="6">
        <v>8.3000000000000004E-2</v>
      </c>
    </row>
    <row r="13" spans="1:15" x14ac:dyDescent="0.25">
      <c r="N13" s="7" t="s">
        <v>6</v>
      </c>
      <c r="O13" s="8">
        <v>14.5</v>
      </c>
    </row>
    <row r="14" spans="1:15" x14ac:dyDescent="0.25">
      <c r="N14" s="7" t="s">
        <v>12</v>
      </c>
      <c r="O14" s="8">
        <f>31*10</f>
        <v>310</v>
      </c>
    </row>
    <row r="15" spans="1:15" x14ac:dyDescent="0.25">
      <c r="N15" s="7" t="s">
        <v>86</v>
      </c>
      <c r="O15" s="8">
        <f>O14/O16*O18</f>
        <v>1.1742424242424243</v>
      </c>
    </row>
    <row r="16" spans="1:15" x14ac:dyDescent="0.25">
      <c r="N16" s="7" t="s">
        <v>7</v>
      </c>
      <c r="O16" s="8">
        <v>0.26400000000000001</v>
      </c>
    </row>
    <row r="17" spans="14:15" x14ac:dyDescent="0.25">
      <c r="N17" s="7" t="s">
        <v>8</v>
      </c>
      <c r="O17" s="8">
        <f>O12*O13*O16</f>
        <v>0.31772400000000001</v>
      </c>
    </row>
    <row r="18" spans="14:15" x14ac:dyDescent="0.25">
      <c r="N18" s="7" t="s">
        <v>87</v>
      </c>
      <c r="O18" s="60">
        <v>1E-3</v>
      </c>
    </row>
    <row r="19" spans="14:15" x14ac:dyDescent="0.25">
      <c r="N19" s="7" t="s">
        <v>14</v>
      </c>
      <c r="O19" s="8">
        <v>44.01</v>
      </c>
    </row>
    <row r="20" spans="14:15" x14ac:dyDescent="0.25">
      <c r="N20" s="7" t="s">
        <v>88</v>
      </c>
      <c r="O20" s="8">
        <v>60</v>
      </c>
    </row>
    <row r="21" spans="14:15" x14ac:dyDescent="0.25">
      <c r="N21" s="7" t="s">
        <v>89</v>
      </c>
      <c r="O21" s="8">
        <v>9.8000000000000007</v>
      </c>
    </row>
    <row r="22" spans="14:15" x14ac:dyDescent="0.25">
      <c r="N22" s="7" t="s">
        <v>90</v>
      </c>
      <c r="O22" s="8">
        <v>2.5399999999999999E-2</v>
      </c>
    </row>
    <row r="23" spans="14:15" x14ac:dyDescent="0.25">
      <c r="N23" s="7" t="s">
        <v>91</v>
      </c>
      <c r="O23" s="8">
        <v>0.30480000000000002</v>
      </c>
    </row>
    <row r="24" spans="14:15" x14ac:dyDescent="0.25">
      <c r="N24" s="61" t="s">
        <v>92</v>
      </c>
      <c r="O24" s="62">
        <f>O14/O16*O18*O4</f>
        <v>1174.2424242424242</v>
      </c>
    </row>
    <row r="25" spans="14:15" ht="15.75" thickBot="1" x14ac:dyDescent="0.3">
      <c r="N25" s="9" t="s">
        <v>93</v>
      </c>
      <c r="O25" s="10">
        <v>6894.8</v>
      </c>
    </row>
    <row r="26" spans="14:15" ht="15.75" thickBot="1" x14ac:dyDescent="0.3"/>
    <row r="27" spans="14:15" ht="15.75" thickBot="1" x14ac:dyDescent="0.3">
      <c r="N27" s="1" t="s">
        <v>0</v>
      </c>
    </row>
    <row r="28" spans="14:15" x14ac:dyDescent="0.25">
      <c r="N28" s="2" t="s">
        <v>1</v>
      </c>
    </row>
    <row r="29" spans="14:15" x14ac:dyDescent="0.25">
      <c r="N29" s="3" t="s">
        <v>2</v>
      </c>
    </row>
    <row r="30" spans="14:15" ht="15.75" thickBot="1" x14ac:dyDescent="0.3">
      <c r="N30" s="4" t="s">
        <v>3</v>
      </c>
    </row>
  </sheetData>
  <mergeCells count="5">
    <mergeCell ref="A1:L1"/>
    <mergeCell ref="N2:O2"/>
    <mergeCell ref="A5:I5"/>
    <mergeCell ref="A9:I9"/>
    <mergeCell ref="N11:O1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94CE7B-BFEA-4E69-9D8C-C2AE8D75AE86}">
  <dimension ref="A1:O33"/>
  <sheetViews>
    <sheetView workbookViewId="0">
      <selection sqref="A1:XFD1048576"/>
    </sheetView>
  </sheetViews>
  <sheetFormatPr defaultRowHeight="15" x14ac:dyDescent="0.25"/>
  <cols>
    <col min="1" max="1" width="21.140625" bestFit="1" customWidth="1"/>
    <col min="2" max="3" width="22.28515625" bestFit="1" customWidth="1"/>
    <col min="4" max="4" width="21.5703125" bestFit="1" customWidth="1"/>
    <col min="5" max="5" width="24.7109375" bestFit="1" customWidth="1"/>
    <col min="6" max="6" width="23" bestFit="1" customWidth="1"/>
    <col min="7" max="7" width="23.28515625" customWidth="1"/>
    <col min="8" max="8" width="17.85546875" bestFit="1" customWidth="1"/>
    <col min="9" max="9" width="16" bestFit="1" customWidth="1"/>
    <col min="10" max="10" width="13.5703125" bestFit="1" customWidth="1"/>
    <col min="11" max="11" width="8.5703125" bestFit="1" customWidth="1"/>
    <col min="12" max="12" width="14.5703125" bestFit="1" customWidth="1"/>
    <col min="14" max="14" width="24.5703125" bestFit="1" customWidth="1"/>
    <col min="18" max="18" width="8.7109375" customWidth="1"/>
  </cols>
  <sheetData>
    <row r="1" spans="1:15" ht="15.75" thickBot="1" x14ac:dyDescent="0.3">
      <c r="A1" s="84" t="s">
        <v>15</v>
      </c>
      <c r="B1" s="91"/>
      <c r="C1" s="91"/>
      <c r="D1" s="91"/>
      <c r="E1" s="91"/>
      <c r="F1" s="91"/>
      <c r="G1" s="91"/>
      <c r="H1" s="91"/>
      <c r="I1" s="91"/>
      <c r="J1" s="91"/>
      <c r="K1" s="91"/>
      <c r="L1" s="85"/>
    </row>
    <row r="2" spans="1:15" ht="15.75" thickBot="1" x14ac:dyDescent="0.3">
      <c r="A2" s="11" t="s">
        <v>16</v>
      </c>
      <c r="B2" s="12" t="s">
        <v>17</v>
      </c>
      <c r="C2" s="13" t="s">
        <v>18</v>
      </c>
      <c r="D2" s="13" t="s">
        <v>19</v>
      </c>
      <c r="E2" s="13" t="s">
        <v>20</v>
      </c>
      <c r="F2" s="13" t="s">
        <v>21</v>
      </c>
      <c r="G2" s="13" t="s">
        <v>22</v>
      </c>
      <c r="H2" s="13" t="s">
        <v>23</v>
      </c>
      <c r="I2" s="13" t="s">
        <v>24</v>
      </c>
      <c r="J2" s="13" t="s">
        <v>25</v>
      </c>
      <c r="K2" s="13" t="s">
        <v>26</v>
      </c>
      <c r="L2" s="14" t="s">
        <v>27</v>
      </c>
      <c r="N2" s="84" t="s">
        <v>4</v>
      </c>
      <c r="O2" s="85"/>
    </row>
    <row r="3" spans="1:15" x14ac:dyDescent="0.25">
      <c r="A3" s="15" t="s">
        <v>28</v>
      </c>
      <c r="B3" s="16">
        <v>15</v>
      </c>
      <c r="C3" s="16">
        <v>298</v>
      </c>
      <c r="D3" s="16">
        <f>ROUNDUP(20*31*1.18,0)</f>
        <v>732</v>
      </c>
      <c r="E3" s="17">
        <f>D3/$O$5/1000</f>
        <v>2.8153846153846152</v>
      </c>
      <c r="F3" s="17">
        <f>B3*$O$11/$O$6/C3*$O$5*1000</f>
        <v>1211.2323396804063</v>
      </c>
      <c r="G3" s="17">
        <f>B3*$O$12/$O$6/C3*$O$5*1000</f>
        <v>1840.6883725598993</v>
      </c>
      <c r="H3" s="17">
        <f>B3*D3/($O$6*C3)</f>
        <v>117.75155023454865</v>
      </c>
      <c r="I3" s="17">
        <f>E3</f>
        <v>2.8153846153846152</v>
      </c>
      <c r="J3" s="17">
        <f>I3*F3</f>
        <v>3410.0848947925283</v>
      </c>
      <c r="K3" s="18">
        <v>0</v>
      </c>
      <c r="L3" s="19">
        <v>0</v>
      </c>
      <c r="N3" s="5" t="s">
        <v>5</v>
      </c>
      <c r="O3" s="6">
        <v>8.3000000000000004E-2</v>
      </c>
    </row>
    <row r="4" spans="1:15" x14ac:dyDescent="0.25">
      <c r="A4" s="20" t="s">
        <v>29</v>
      </c>
      <c r="B4" s="21">
        <v>15</v>
      </c>
      <c r="C4" s="21">
        <v>298</v>
      </c>
      <c r="D4" s="21">
        <f>D3</f>
        <v>732</v>
      </c>
      <c r="E4" s="22">
        <f t="shared" ref="E4:E5" si="0">D4/$O$5/1000</f>
        <v>2.8153846153846152</v>
      </c>
      <c r="F4" s="22">
        <f>B4*$O$11/$O$6/C4*$O$5*1000</f>
        <v>1211.2323396804063</v>
      </c>
      <c r="G4" s="22">
        <f>B4*$O$12/$O$6/C4*$O$5*1000</f>
        <v>1840.6883725598993</v>
      </c>
      <c r="H4" s="17">
        <f>B4*D4/($O$6*C4)</f>
        <v>117.75155023454865</v>
      </c>
      <c r="I4" s="22">
        <f>(D4-E8)/O5/1000</f>
        <v>0</v>
      </c>
      <c r="J4" s="22">
        <f>I4*F4</f>
        <v>0</v>
      </c>
      <c r="K4" s="22">
        <f>E4-I4</f>
        <v>2.8153846153846152</v>
      </c>
      <c r="L4" s="23">
        <f>K4*G4</f>
        <v>5182.2457258224858</v>
      </c>
      <c r="N4" s="7" t="s">
        <v>6</v>
      </c>
      <c r="O4" s="8">
        <v>14.5</v>
      </c>
    </row>
    <row r="5" spans="1:15" ht="15.75" thickBot="1" x14ac:dyDescent="0.3">
      <c r="A5" s="24" t="s">
        <v>30</v>
      </c>
      <c r="B5" s="25">
        <v>25</v>
      </c>
      <c r="C5" s="25">
        <v>298</v>
      </c>
      <c r="D5" s="25">
        <f>D3</f>
        <v>732</v>
      </c>
      <c r="E5" s="26">
        <f t="shared" si="0"/>
        <v>2.8153846153846152</v>
      </c>
      <c r="F5" s="26">
        <f>B5*$O$11/$O$6/C5*$O$5*1000</f>
        <v>2018.7205661340108</v>
      </c>
      <c r="G5" s="26">
        <f>B5*$O$12/$O$6/C5*$O$5*1000</f>
        <v>3067.8139542664985</v>
      </c>
      <c r="H5" s="27">
        <f>B5*D5/($O$6*C5)</f>
        <v>196.25258372424776</v>
      </c>
      <c r="I5" s="26">
        <f>J5/F5</f>
        <v>0</v>
      </c>
      <c r="J5" s="26">
        <f>J4</f>
        <v>0</v>
      </c>
      <c r="K5" s="26">
        <f>E5-I5</f>
        <v>2.8153846153846152</v>
      </c>
      <c r="L5" s="28">
        <f>G5*K5</f>
        <v>8637.0762097041406</v>
      </c>
      <c r="N5" s="7" t="s">
        <v>7</v>
      </c>
      <c r="O5" s="8">
        <v>0.26</v>
      </c>
    </row>
    <row r="6" spans="1:15" ht="15.75" thickBot="1" x14ac:dyDescent="0.3">
      <c r="A6" s="92" t="s">
        <v>31</v>
      </c>
      <c r="B6" s="93"/>
      <c r="C6" s="93"/>
      <c r="D6" s="93"/>
      <c r="E6" s="93"/>
      <c r="F6" s="93"/>
      <c r="G6" s="93"/>
      <c r="H6" s="93"/>
      <c r="I6" s="93"/>
      <c r="J6" s="93"/>
      <c r="K6" s="93"/>
      <c r="L6" s="94"/>
      <c r="N6" s="7" t="s">
        <v>8</v>
      </c>
      <c r="O6" s="8">
        <f>O3*O4*O5</f>
        <v>0.31291000000000002</v>
      </c>
    </row>
    <row r="7" spans="1:15" ht="15.75" thickBot="1" x14ac:dyDescent="0.3">
      <c r="A7" s="29" t="s">
        <v>16</v>
      </c>
      <c r="B7" s="12" t="s">
        <v>32</v>
      </c>
      <c r="C7" s="13" t="s">
        <v>33</v>
      </c>
      <c r="D7" s="13" t="s">
        <v>34</v>
      </c>
      <c r="E7" s="13" t="s">
        <v>35</v>
      </c>
      <c r="F7" s="13" t="s">
        <v>36</v>
      </c>
      <c r="G7" s="13" t="s">
        <v>37</v>
      </c>
      <c r="H7" s="13" t="s">
        <v>38</v>
      </c>
      <c r="I7" s="13" t="s">
        <v>39</v>
      </c>
      <c r="J7" s="13" t="s">
        <v>40</v>
      </c>
      <c r="K7" s="13"/>
      <c r="L7" s="14"/>
      <c r="N7" s="7" t="s">
        <v>9</v>
      </c>
      <c r="O7" s="8">
        <v>1.96</v>
      </c>
    </row>
    <row r="8" spans="1:15" ht="15.75" thickBot="1" x14ac:dyDescent="0.3">
      <c r="A8" s="30" t="s">
        <v>41</v>
      </c>
      <c r="B8" s="31">
        <v>25</v>
      </c>
      <c r="C8" s="31">
        <v>30</v>
      </c>
      <c r="D8" s="32">
        <f>B8*C8</f>
        <v>750</v>
      </c>
      <c r="E8" s="33">
        <f>IF((D3-D8)&lt;=0,D3,D8)</f>
        <v>732</v>
      </c>
      <c r="F8" s="33">
        <f>IF((D8-D3)&gt;=0,D8-D3,0)</f>
        <v>18</v>
      </c>
      <c r="G8" s="33">
        <f>D8-F8</f>
        <v>732</v>
      </c>
      <c r="H8" s="33">
        <f>G8/O5/1000*G4</f>
        <v>5182.2457258224858</v>
      </c>
      <c r="I8" s="34">
        <f>F8/O5/1000*G4</f>
        <v>127.43227194645455</v>
      </c>
      <c r="J8" s="34">
        <f>D8/O5/1000*G4</f>
        <v>5309.6779977689393</v>
      </c>
      <c r="K8" s="35"/>
      <c r="L8" s="36"/>
      <c r="N8" s="7" t="s">
        <v>10</v>
      </c>
      <c r="O8" s="8">
        <v>1000</v>
      </c>
    </row>
    <row r="9" spans="1:15" ht="15.75" thickBot="1" x14ac:dyDescent="0.3">
      <c r="N9" s="7" t="s">
        <v>11</v>
      </c>
      <c r="O9" s="8">
        <v>1</v>
      </c>
    </row>
    <row r="10" spans="1:15" ht="15.75" thickBot="1" x14ac:dyDescent="0.3">
      <c r="A10" s="84" t="s">
        <v>42</v>
      </c>
      <c r="B10" s="91"/>
      <c r="C10" s="91"/>
      <c r="D10" s="91"/>
      <c r="E10" s="91"/>
      <c r="F10" s="91"/>
      <c r="G10" s="91"/>
      <c r="H10" s="91"/>
      <c r="I10" s="91"/>
      <c r="J10" s="91"/>
      <c r="K10" s="91"/>
      <c r="L10" s="85"/>
      <c r="N10" s="7" t="s">
        <v>12</v>
      </c>
      <c r="O10" s="8">
        <f>20*31</f>
        <v>620</v>
      </c>
    </row>
    <row r="11" spans="1:15" ht="15.75" thickBot="1" x14ac:dyDescent="0.3">
      <c r="A11" s="37" t="s">
        <v>16</v>
      </c>
      <c r="B11" s="38" t="s">
        <v>17</v>
      </c>
      <c r="C11" s="38" t="s">
        <v>18</v>
      </c>
      <c r="D11" s="38" t="s">
        <v>19</v>
      </c>
      <c r="E11" s="38" t="s">
        <v>43</v>
      </c>
      <c r="F11" s="38" t="s">
        <v>44</v>
      </c>
      <c r="G11" s="38" t="s">
        <v>45</v>
      </c>
      <c r="H11" s="38" t="s">
        <v>46</v>
      </c>
      <c r="I11" s="38" t="s">
        <v>25</v>
      </c>
      <c r="J11" s="38" t="s">
        <v>47</v>
      </c>
      <c r="K11" s="38" t="s">
        <v>48</v>
      </c>
      <c r="L11" s="39" t="s">
        <v>49</v>
      </c>
      <c r="N11" s="7" t="s">
        <v>13</v>
      </c>
      <c r="O11" s="8">
        <v>28.96</v>
      </c>
    </row>
    <row r="12" spans="1:15" ht="15.75" thickBot="1" x14ac:dyDescent="0.3">
      <c r="A12" s="15" t="s">
        <v>50</v>
      </c>
      <c r="B12" s="40">
        <v>25</v>
      </c>
      <c r="C12" s="40">
        <v>298</v>
      </c>
      <c r="D12" s="40">
        <f>D5</f>
        <v>732</v>
      </c>
      <c r="E12" s="41">
        <f>B12*D12/(C12*$O$6)</f>
        <v>196.25258372424776</v>
      </c>
      <c r="F12" s="41">
        <f>H12/E12</f>
        <v>0</v>
      </c>
      <c r="G12" s="41">
        <f>J12/E12</f>
        <v>0.99999999999999967</v>
      </c>
      <c r="H12" s="41">
        <f>I12/O11</f>
        <v>0</v>
      </c>
      <c r="I12" s="42">
        <f>J5</f>
        <v>0</v>
      </c>
      <c r="J12" s="41">
        <f>K12/O12</f>
        <v>196.2525837242477</v>
      </c>
      <c r="K12" s="42">
        <f>L5</f>
        <v>8637.0762097041406</v>
      </c>
      <c r="L12" s="43">
        <v>0</v>
      </c>
      <c r="N12" s="9" t="s">
        <v>14</v>
      </c>
      <c r="O12" s="10">
        <v>44.01</v>
      </c>
    </row>
    <row r="13" spans="1:15" ht="15.75" thickBot="1" x14ac:dyDescent="0.3">
      <c r="A13" s="44" t="s">
        <v>51</v>
      </c>
      <c r="B13" s="45">
        <v>25</v>
      </c>
      <c r="C13" s="45">
        <v>298</v>
      </c>
      <c r="D13" s="46">
        <f>D12-O10</f>
        <v>112</v>
      </c>
      <c r="E13" s="47">
        <f>B13*D13/(C13*$O$6)</f>
        <v>30.027717728300203</v>
      </c>
      <c r="F13" s="47">
        <f>F12</f>
        <v>0</v>
      </c>
      <c r="G13" s="47">
        <f>G12</f>
        <v>0.99999999999999967</v>
      </c>
      <c r="H13" s="47">
        <f>F13*E13</f>
        <v>0</v>
      </c>
      <c r="I13" s="47">
        <f>H13*$O$11</f>
        <v>0</v>
      </c>
      <c r="J13" s="47">
        <f>G13*E13</f>
        <v>30.027717728300193</v>
      </c>
      <c r="K13" s="47">
        <f>J13*$O$12</f>
        <v>1321.5198572224915</v>
      </c>
      <c r="L13" s="48">
        <f>K12-K13</f>
        <v>7315.5563524816489</v>
      </c>
    </row>
    <row r="14" spans="1:15" ht="15.75" thickBot="1" x14ac:dyDescent="0.3">
      <c r="N14" s="1" t="s">
        <v>0</v>
      </c>
    </row>
    <row r="15" spans="1:15" ht="15.75" thickBot="1" x14ac:dyDescent="0.3">
      <c r="A15" s="92" t="s">
        <v>52</v>
      </c>
      <c r="B15" s="93"/>
      <c r="C15" s="93"/>
      <c r="D15" s="93"/>
      <c r="E15" s="94"/>
      <c r="N15" s="2" t="s">
        <v>1</v>
      </c>
    </row>
    <row r="16" spans="1:15" ht="15.75" thickBot="1" x14ac:dyDescent="0.3">
      <c r="A16" s="37" t="s">
        <v>16</v>
      </c>
      <c r="B16" s="38" t="s">
        <v>53</v>
      </c>
      <c r="C16" s="38" t="s">
        <v>54</v>
      </c>
      <c r="D16" s="38" t="s">
        <v>55</v>
      </c>
      <c r="E16" s="39" t="s">
        <v>56</v>
      </c>
      <c r="N16" s="3" t="s">
        <v>2</v>
      </c>
    </row>
    <row r="17" spans="1:14" ht="15.75" thickBot="1" x14ac:dyDescent="0.3">
      <c r="A17" s="15" t="s">
        <v>57</v>
      </c>
      <c r="B17" s="40">
        <v>0.88</v>
      </c>
      <c r="C17" s="40">
        <f>B17*$O$7</f>
        <v>1.7247999999999999</v>
      </c>
      <c r="D17" s="49"/>
      <c r="E17" s="50"/>
      <c r="N17" s="4" t="s">
        <v>3</v>
      </c>
    </row>
    <row r="18" spans="1:14" x14ac:dyDescent="0.25">
      <c r="A18" s="20" t="s">
        <v>58</v>
      </c>
      <c r="B18" s="21">
        <v>2.5</v>
      </c>
      <c r="C18" s="21">
        <f>B18*$O$7</f>
        <v>4.9000000000000004</v>
      </c>
      <c r="D18" s="51"/>
      <c r="E18" s="8"/>
    </row>
    <row r="19" spans="1:14" ht="15.75" thickBot="1" x14ac:dyDescent="0.3">
      <c r="A19" s="44" t="s">
        <v>59</v>
      </c>
      <c r="B19" s="52"/>
      <c r="C19" s="52"/>
      <c r="D19" s="53">
        <f>C18-C17</f>
        <v>3.1752000000000002</v>
      </c>
      <c r="E19" s="48">
        <f>D19*O10/O5</f>
        <v>7571.6307692307701</v>
      </c>
    </row>
    <row r="20" spans="1:14" ht="15.75" thickBot="1" x14ac:dyDescent="0.3"/>
    <row r="21" spans="1:14" ht="15.75" thickBot="1" x14ac:dyDescent="0.3">
      <c r="A21" s="84" t="s">
        <v>60</v>
      </c>
      <c r="B21" s="91"/>
      <c r="C21" s="91"/>
      <c r="D21" s="91"/>
      <c r="E21" s="91"/>
      <c r="F21" s="91"/>
      <c r="G21" s="91"/>
      <c r="H21" s="91"/>
      <c r="I21" s="91"/>
      <c r="J21" s="91"/>
      <c r="K21" s="91"/>
      <c r="L21" s="85"/>
    </row>
    <row r="22" spans="1:14" ht="15.75" thickBot="1" x14ac:dyDescent="0.3">
      <c r="A22" s="37" t="s">
        <v>16</v>
      </c>
      <c r="B22" s="38" t="s">
        <v>17</v>
      </c>
      <c r="C22" s="38" t="s">
        <v>18</v>
      </c>
      <c r="D22" s="38" t="s">
        <v>19</v>
      </c>
      <c r="E22" s="38" t="s">
        <v>43</v>
      </c>
      <c r="F22" s="38" t="s">
        <v>44</v>
      </c>
      <c r="G22" s="38" t="s">
        <v>45</v>
      </c>
      <c r="H22" s="38" t="s">
        <v>46</v>
      </c>
      <c r="I22" s="38" t="s">
        <v>25</v>
      </c>
      <c r="J22" s="38" t="s">
        <v>47</v>
      </c>
      <c r="K22" s="38" t="s">
        <v>48</v>
      </c>
      <c r="L22" s="39" t="s">
        <v>61</v>
      </c>
    </row>
    <row r="23" spans="1:14" x14ac:dyDescent="0.25">
      <c r="A23" s="15" t="s">
        <v>62</v>
      </c>
      <c r="B23" s="40">
        <v>25</v>
      </c>
      <c r="C23" s="40">
        <v>298</v>
      </c>
      <c r="D23" s="42">
        <f>D13</f>
        <v>112</v>
      </c>
      <c r="E23" s="41">
        <f>B23*D23/(C23*$O$6)</f>
        <v>30.027717728300203</v>
      </c>
      <c r="F23" s="42">
        <f>F13</f>
        <v>0</v>
      </c>
      <c r="G23" s="42">
        <f>G13</f>
        <v>0.99999999999999967</v>
      </c>
      <c r="H23" s="41">
        <f>F23*E23</f>
        <v>0</v>
      </c>
      <c r="I23" s="41">
        <f>H23*$O$11</f>
        <v>0</v>
      </c>
      <c r="J23" s="41">
        <f>G23*E23</f>
        <v>30.027717728300193</v>
      </c>
      <c r="K23" s="41">
        <f>J23*$O$12</f>
        <v>1321.5198572224915</v>
      </c>
      <c r="L23" s="43">
        <v>0</v>
      </c>
    </row>
    <row r="24" spans="1:14" ht="15.75" thickBot="1" x14ac:dyDescent="0.3">
      <c r="A24" s="44" t="s">
        <v>63</v>
      </c>
      <c r="B24" s="45">
        <v>25</v>
      </c>
      <c r="C24" s="45">
        <v>298</v>
      </c>
      <c r="D24" s="46">
        <f>D23+O10</f>
        <v>732</v>
      </c>
      <c r="E24" s="47">
        <f>B24*D24/(C24*$O$6)</f>
        <v>196.25258372424776</v>
      </c>
      <c r="F24" s="47">
        <f>H24/E24</f>
        <v>0</v>
      </c>
      <c r="G24" s="47">
        <f>J24/E24</f>
        <v>1</v>
      </c>
      <c r="H24" s="47">
        <f>H23</f>
        <v>0</v>
      </c>
      <c r="I24" s="47">
        <f t="shared" ref="I24" si="1">H24*$O$11</f>
        <v>0</v>
      </c>
      <c r="J24" s="47">
        <f>E24-H24</f>
        <v>196.25258372424776</v>
      </c>
      <c r="K24" s="47">
        <f t="shared" ref="K24" si="2">J24*$O$12</f>
        <v>8637.0762097041443</v>
      </c>
      <c r="L24" s="48">
        <f>K24</f>
        <v>8637.0762097041443</v>
      </c>
    </row>
    <row r="25" spans="1:14" ht="15.75" thickBot="1" x14ac:dyDescent="0.3"/>
    <row r="26" spans="1:14" ht="15.75" thickBot="1" x14ac:dyDescent="0.3">
      <c r="A26" s="88" t="s">
        <v>64</v>
      </c>
      <c r="B26" s="89"/>
      <c r="C26" s="89"/>
      <c r="D26" s="89"/>
      <c r="E26" s="89"/>
      <c r="F26" s="89"/>
      <c r="G26" s="90"/>
    </row>
    <row r="27" spans="1:14" ht="15.75" thickBot="1" x14ac:dyDescent="0.3">
      <c r="A27" s="37" t="s">
        <v>65</v>
      </c>
      <c r="B27" s="38" t="s">
        <v>66</v>
      </c>
      <c r="C27" s="38" t="s">
        <v>67</v>
      </c>
      <c r="D27" s="38" t="s">
        <v>68</v>
      </c>
      <c r="E27" s="38" t="s">
        <v>69</v>
      </c>
      <c r="F27" s="38" t="s">
        <v>70</v>
      </c>
      <c r="G27" s="39" t="s">
        <v>71</v>
      </c>
    </row>
    <row r="28" spans="1:14" x14ac:dyDescent="0.25">
      <c r="A28" s="15" t="s">
        <v>72</v>
      </c>
      <c r="B28" s="41">
        <f>J8+(L5-L4)</f>
        <v>8764.5084816505951</v>
      </c>
      <c r="C28" s="41">
        <f>B28/$O$8</f>
        <v>8.7645084816505943</v>
      </c>
      <c r="D28" s="41">
        <f>I8</f>
        <v>127.43227194645455</v>
      </c>
      <c r="E28" s="41">
        <f>D28/$O$8</f>
        <v>0.12743227194645454</v>
      </c>
      <c r="F28" s="41">
        <v>0</v>
      </c>
      <c r="G28" s="54">
        <f>F28/O8</f>
        <v>0</v>
      </c>
    </row>
    <row r="29" spans="1:14" x14ac:dyDescent="0.25">
      <c r="A29" s="20" t="s">
        <v>73</v>
      </c>
      <c r="B29" s="22">
        <v>0</v>
      </c>
      <c r="C29" s="22">
        <f t="shared" ref="C29:C32" si="3">B29/$O$8</f>
        <v>0</v>
      </c>
      <c r="D29" s="22">
        <f>L13</f>
        <v>7315.5563524816489</v>
      </c>
      <c r="E29" s="22">
        <f t="shared" ref="E29:E33" si="4">D29/$O$8</f>
        <v>7.3155563524816491</v>
      </c>
      <c r="F29" s="22">
        <v>0</v>
      </c>
      <c r="G29" s="55">
        <f>F29/O8</f>
        <v>0</v>
      </c>
    </row>
    <row r="30" spans="1:14" x14ac:dyDescent="0.25">
      <c r="A30" s="20" t="s">
        <v>74</v>
      </c>
      <c r="B30" s="22">
        <f>E19</f>
        <v>7571.6307692307701</v>
      </c>
      <c r="C30" s="22">
        <f t="shared" si="3"/>
        <v>7.5716307692307705</v>
      </c>
      <c r="D30" s="22">
        <v>0</v>
      </c>
      <c r="E30" s="22">
        <f t="shared" si="4"/>
        <v>0</v>
      </c>
      <c r="F30" s="22">
        <f>E19</f>
        <v>7571.6307692307701</v>
      </c>
      <c r="G30" s="55">
        <f>F30/O8</f>
        <v>7.5716307692307705</v>
      </c>
    </row>
    <row r="31" spans="1:14" x14ac:dyDescent="0.25">
      <c r="A31" s="20" t="s">
        <v>75</v>
      </c>
      <c r="B31" s="22">
        <f>K24-K23</f>
        <v>7315.5563524816525</v>
      </c>
      <c r="C31" s="22">
        <f t="shared" si="3"/>
        <v>7.3155563524816527</v>
      </c>
      <c r="D31" s="22">
        <v>0</v>
      </c>
      <c r="E31" s="22">
        <f t="shared" si="4"/>
        <v>0</v>
      </c>
      <c r="F31" s="22">
        <v>0</v>
      </c>
      <c r="G31" s="55">
        <f>F31/O8</f>
        <v>0</v>
      </c>
    </row>
    <row r="32" spans="1:14" ht="15.75" thickBot="1" x14ac:dyDescent="0.3">
      <c r="A32" s="44" t="s">
        <v>76</v>
      </c>
      <c r="B32" s="47">
        <f>0</f>
        <v>0</v>
      </c>
      <c r="C32" s="47">
        <f t="shared" si="3"/>
        <v>0</v>
      </c>
      <c r="D32" s="47">
        <f>L24</f>
        <v>8637.0762097041443</v>
      </c>
      <c r="E32" s="47">
        <f t="shared" si="4"/>
        <v>8.6370762097041442</v>
      </c>
      <c r="F32" s="47">
        <v>0</v>
      </c>
      <c r="G32" s="56">
        <f>F32/O8</f>
        <v>0</v>
      </c>
    </row>
    <row r="33" spans="1:7" ht="15.75" thickBot="1" x14ac:dyDescent="0.3">
      <c r="A33" s="12" t="s">
        <v>77</v>
      </c>
      <c r="B33" s="57">
        <f>SUM(B28:B32)</f>
        <v>23651.695603363019</v>
      </c>
      <c r="C33" s="57">
        <f>B33/$O$8</f>
        <v>23.65169560336302</v>
      </c>
      <c r="D33" s="57">
        <f>SUM(D28:D32)</f>
        <v>16080.064834132249</v>
      </c>
      <c r="E33" s="57">
        <f t="shared" si="4"/>
        <v>16.080064834132248</v>
      </c>
      <c r="F33" s="57">
        <f>SUM(F28:F32)</f>
        <v>7571.6307692307701</v>
      </c>
      <c r="G33" s="58">
        <f>F33/O8</f>
        <v>7.5716307692307705</v>
      </c>
    </row>
  </sheetData>
  <mergeCells count="7">
    <mergeCell ref="A26:G26"/>
    <mergeCell ref="A1:L1"/>
    <mergeCell ref="N2:O2"/>
    <mergeCell ref="A6:L6"/>
    <mergeCell ref="A10:L10"/>
    <mergeCell ref="A15:E15"/>
    <mergeCell ref="A21:L2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50BB28-730F-4386-81BB-6151C8FB5A4A}">
  <dimension ref="A1:O30"/>
  <sheetViews>
    <sheetView workbookViewId="0">
      <selection activeCell="E20" sqref="E20"/>
    </sheetView>
  </sheetViews>
  <sheetFormatPr defaultRowHeight="15" x14ac:dyDescent="0.25"/>
  <cols>
    <col min="1" max="1" width="30.28515625" bestFit="1" customWidth="1"/>
    <col min="2" max="2" width="22.85546875" bestFit="1" customWidth="1"/>
    <col min="3" max="3" width="22.42578125" bestFit="1" customWidth="1"/>
    <col min="4" max="4" width="19" bestFit="1" customWidth="1"/>
    <col min="5" max="5" width="18.7109375" bestFit="1" customWidth="1"/>
    <col min="6" max="6" width="26.28515625" bestFit="1" customWidth="1"/>
    <col min="7" max="7" width="29" bestFit="1" customWidth="1"/>
    <col min="8" max="8" width="27.7109375" bestFit="1" customWidth="1"/>
    <col min="9" max="9" width="31.42578125" bestFit="1" customWidth="1"/>
    <col min="10" max="10" width="23.85546875" bestFit="1" customWidth="1"/>
    <col min="11" max="11" width="14.28515625" bestFit="1" customWidth="1"/>
    <col min="12" max="12" width="15.28515625" bestFit="1" customWidth="1"/>
    <col min="14" max="14" width="24.42578125" bestFit="1" customWidth="1"/>
    <col min="15" max="15" width="12.5703125" bestFit="1" customWidth="1"/>
  </cols>
  <sheetData>
    <row r="1" spans="1:15" ht="15.75" thickBot="1" x14ac:dyDescent="0.3">
      <c r="A1" s="81" t="s">
        <v>94</v>
      </c>
      <c r="B1" s="82"/>
      <c r="C1" s="82"/>
      <c r="D1" s="82"/>
      <c r="E1" s="82"/>
      <c r="F1" s="82"/>
      <c r="G1" s="82"/>
      <c r="H1" s="82"/>
      <c r="I1" s="82"/>
      <c r="J1" s="82"/>
      <c r="K1" s="82"/>
      <c r="L1" s="83"/>
    </row>
    <row r="2" spans="1:15" ht="15.75" thickBot="1" x14ac:dyDescent="0.3">
      <c r="A2" s="37" t="s">
        <v>95</v>
      </c>
      <c r="B2" s="38" t="s">
        <v>96</v>
      </c>
      <c r="C2" s="38" t="s">
        <v>97</v>
      </c>
      <c r="D2" s="38" t="s">
        <v>98</v>
      </c>
      <c r="E2" s="38" t="s">
        <v>99</v>
      </c>
      <c r="F2" s="38" t="s">
        <v>100</v>
      </c>
      <c r="G2" s="38" t="s">
        <v>101</v>
      </c>
      <c r="H2" s="38" t="s">
        <v>102</v>
      </c>
      <c r="I2" s="38" t="s">
        <v>103</v>
      </c>
      <c r="J2" s="38" t="s">
        <v>104</v>
      </c>
      <c r="K2" s="38" t="s">
        <v>105</v>
      </c>
      <c r="L2" s="39" t="s">
        <v>106</v>
      </c>
      <c r="N2" s="84" t="s">
        <v>78</v>
      </c>
      <c r="O2" s="85"/>
    </row>
    <row r="3" spans="1:15" ht="15.75" thickBot="1" x14ac:dyDescent="0.3">
      <c r="A3" s="12" t="s">
        <v>107</v>
      </c>
      <c r="B3" s="63">
        <v>1</v>
      </c>
      <c r="C3" s="64">
        <f>B3*O22</f>
        <v>2.5399999999999999E-2</v>
      </c>
      <c r="D3" s="63">
        <v>1.25</v>
      </c>
      <c r="E3" s="63">
        <v>5</v>
      </c>
      <c r="F3" s="64">
        <f>E3*O23</f>
        <v>1.524</v>
      </c>
      <c r="G3" s="63" t="s">
        <v>108</v>
      </c>
      <c r="H3" s="64">
        <f>O8/(PI()*C3^2/4)</f>
        <v>0.24918247997348297</v>
      </c>
      <c r="I3" s="64">
        <f>H3*C3/O6</f>
        <v>2637.1812463860283</v>
      </c>
      <c r="J3" s="65">
        <f>0.002/1000/C3</f>
        <v>7.8740157480314957E-5</v>
      </c>
      <c r="K3" s="64">
        <f>16/I3</f>
        <v>6.0670839449985733E-3</v>
      </c>
      <c r="L3" s="66">
        <f>K3*4*F3/C3</f>
        <v>1.4561001467996577</v>
      </c>
      <c r="N3" s="59" t="s">
        <v>18</v>
      </c>
      <c r="O3" s="6">
        <v>298</v>
      </c>
    </row>
    <row r="4" spans="1:15" ht="15.75" thickBot="1" x14ac:dyDescent="0.3">
      <c r="N4" s="20" t="s">
        <v>79</v>
      </c>
      <c r="O4" s="8">
        <v>1000</v>
      </c>
    </row>
    <row r="5" spans="1:15" ht="15.75" thickBot="1" x14ac:dyDescent="0.3">
      <c r="A5" s="81" t="s">
        <v>109</v>
      </c>
      <c r="B5" s="82"/>
      <c r="C5" s="82"/>
      <c r="D5" s="82"/>
      <c r="E5" s="82"/>
      <c r="F5" s="82"/>
      <c r="G5" s="82"/>
      <c r="H5" s="82"/>
      <c r="I5" s="83"/>
      <c r="N5" s="20" t="s">
        <v>80</v>
      </c>
      <c r="O5" s="60">
        <f>2.4*10^-3</f>
        <v>2.3999999999999998E-3</v>
      </c>
    </row>
    <row r="6" spans="1:15" ht="15.75" thickBot="1" x14ac:dyDescent="0.3">
      <c r="A6" s="12" t="s">
        <v>16</v>
      </c>
      <c r="B6" s="13" t="s">
        <v>110</v>
      </c>
      <c r="C6" s="13" t="s">
        <v>111</v>
      </c>
      <c r="D6" s="13" t="s">
        <v>112</v>
      </c>
      <c r="E6" s="13" t="s">
        <v>113</v>
      </c>
      <c r="F6" s="13" t="s">
        <v>114</v>
      </c>
      <c r="G6" s="13" t="s">
        <v>115</v>
      </c>
      <c r="H6" s="13" t="s">
        <v>116</v>
      </c>
      <c r="I6" s="14" t="s">
        <v>117</v>
      </c>
      <c r="N6" s="20" t="s">
        <v>81</v>
      </c>
      <c r="O6" s="60">
        <f>O5/O4</f>
        <v>2.3999999999999999E-6</v>
      </c>
    </row>
    <row r="7" spans="1:15" ht="15.75" thickBot="1" x14ac:dyDescent="0.3">
      <c r="A7" s="30" t="s">
        <v>118</v>
      </c>
      <c r="B7" s="31">
        <v>10</v>
      </c>
      <c r="C7" s="32">
        <f>B7*O25</f>
        <v>68948</v>
      </c>
      <c r="D7" s="32">
        <f>C7/O4/O21</f>
        <v>7.0355102040816311</v>
      </c>
      <c r="E7" s="31">
        <v>0</v>
      </c>
      <c r="F7" s="32">
        <f>E7*O23</f>
        <v>0</v>
      </c>
      <c r="G7" s="32">
        <f>L3/C3^4</f>
        <v>3498294.5958505683</v>
      </c>
      <c r="H7" s="67">
        <f>G7*8*O8^2/(O21*PI()^2)</f>
        <v>4.6128590218456108E-3</v>
      </c>
      <c r="I7" s="68">
        <f>H7+F7+D7</f>
        <v>7.0401230631034766</v>
      </c>
      <c r="N7" s="20" t="s">
        <v>82</v>
      </c>
      <c r="O7" s="8">
        <v>2</v>
      </c>
    </row>
    <row r="8" spans="1:15" ht="15.75" thickBot="1" x14ac:dyDescent="0.3">
      <c r="N8" s="20" t="s">
        <v>83</v>
      </c>
      <c r="O8" s="60">
        <f>O7/O16*O18/O20</f>
        <v>1.2626262626262626E-4</v>
      </c>
    </row>
    <row r="9" spans="1:15" ht="15.75" thickBot="1" x14ac:dyDescent="0.3">
      <c r="A9" s="81" t="s">
        <v>119</v>
      </c>
      <c r="B9" s="82"/>
      <c r="C9" s="82"/>
      <c r="D9" s="82"/>
      <c r="E9" s="82"/>
      <c r="F9" s="82"/>
      <c r="G9" s="82"/>
      <c r="H9" s="82"/>
      <c r="I9" s="83"/>
      <c r="N9" s="44" t="s">
        <v>84</v>
      </c>
      <c r="O9" s="10">
        <f>O8*O4</f>
        <v>0.12626262626262627</v>
      </c>
    </row>
    <row r="10" spans="1:15" ht="15.75" thickBot="1" x14ac:dyDescent="0.3">
      <c r="A10" s="69" t="s">
        <v>120</v>
      </c>
      <c r="B10" s="70" t="s">
        <v>121</v>
      </c>
      <c r="C10" s="70" t="s">
        <v>122</v>
      </c>
      <c r="D10" s="70" t="s">
        <v>123</v>
      </c>
      <c r="E10" s="70" t="s">
        <v>124</v>
      </c>
      <c r="F10" s="70" t="s">
        <v>125</v>
      </c>
      <c r="G10" s="70" t="s">
        <v>126</v>
      </c>
      <c r="H10" s="70" t="s">
        <v>127</v>
      </c>
      <c r="I10" s="71" t="s">
        <v>128</v>
      </c>
    </row>
    <row r="11" spans="1:15" ht="15.75" thickBot="1" x14ac:dyDescent="0.3">
      <c r="A11" s="72" t="s">
        <v>41</v>
      </c>
      <c r="B11" s="42">
        <v>0.7</v>
      </c>
      <c r="C11" s="41">
        <f>I7*O21*O4*O8/B11</f>
        <v>12.44466198023342</v>
      </c>
      <c r="D11" s="73" t="s">
        <v>129</v>
      </c>
      <c r="E11" s="73" t="s">
        <v>129</v>
      </c>
      <c r="F11" s="42">
        <f>O9</f>
        <v>0.12626262626262627</v>
      </c>
      <c r="G11" s="74">
        <f>C11/F11</f>
        <v>98.561722883448681</v>
      </c>
      <c r="H11" s="75">
        <f>C11/1000/F11/3600</f>
        <v>2.7378256356513523E-5</v>
      </c>
      <c r="I11" s="76">
        <f>H11*O24</f>
        <v>6.4297420231206007E-2</v>
      </c>
      <c r="N11" s="86" t="s">
        <v>85</v>
      </c>
      <c r="O11" s="87"/>
    </row>
    <row r="12" spans="1:15" ht="15.75" thickBot="1" x14ac:dyDescent="0.3">
      <c r="A12" s="9" t="s">
        <v>130</v>
      </c>
      <c r="B12" s="46">
        <v>0.7</v>
      </c>
      <c r="C12" s="46">
        <f>240*10/B12</f>
        <v>3428.5714285714289</v>
      </c>
      <c r="D12" s="46">
        <v>72</v>
      </c>
      <c r="E12" s="47">
        <f>D12*3600</f>
        <v>259200</v>
      </c>
      <c r="F12" s="77">
        <f>O14/O16*O18*O4/E12</f>
        <v>9.0605125327347553E-3</v>
      </c>
      <c r="G12" s="78">
        <f>C12/F12</f>
        <v>378408.11059907835</v>
      </c>
      <c r="H12" s="77">
        <f>C12/1000/F12/3600</f>
        <v>0.10511336405529953</v>
      </c>
      <c r="I12" s="79">
        <f>H12*O24</f>
        <v>246.85714285714283</v>
      </c>
      <c r="N12" s="5" t="s">
        <v>5</v>
      </c>
      <c r="O12" s="6">
        <v>8.3000000000000004E-2</v>
      </c>
    </row>
    <row r="13" spans="1:15" x14ac:dyDescent="0.25">
      <c r="N13" s="7" t="s">
        <v>6</v>
      </c>
      <c r="O13" s="8">
        <v>14.5</v>
      </c>
    </row>
    <row r="14" spans="1:15" x14ac:dyDescent="0.25">
      <c r="N14" s="7" t="s">
        <v>12</v>
      </c>
      <c r="O14" s="8">
        <f>31*20</f>
        <v>620</v>
      </c>
    </row>
    <row r="15" spans="1:15" x14ac:dyDescent="0.25">
      <c r="N15" s="7" t="s">
        <v>86</v>
      </c>
      <c r="O15" s="8">
        <f>O14/O16*O18</f>
        <v>2.3484848484848486</v>
      </c>
    </row>
    <row r="16" spans="1:15" x14ac:dyDescent="0.25">
      <c r="N16" s="7" t="s">
        <v>7</v>
      </c>
      <c r="O16" s="8">
        <v>0.26400000000000001</v>
      </c>
    </row>
    <row r="17" spans="14:15" x14ac:dyDescent="0.25">
      <c r="N17" s="7" t="s">
        <v>8</v>
      </c>
      <c r="O17" s="8">
        <f>O12*O13*O16</f>
        <v>0.31772400000000001</v>
      </c>
    </row>
    <row r="18" spans="14:15" x14ac:dyDescent="0.25">
      <c r="N18" s="7" t="s">
        <v>87</v>
      </c>
      <c r="O18" s="60">
        <v>1E-3</v>
      </c>
    </row>
    <row r="19" spans="14:15" x14ac:dyDescent="0.25">
      <c r="N19" s="7" t="s">
        <v>14</v>
      </c>
      <c r="O19" s="8">
        <v>44.01</v>
      </c>
    </row>
    <row r="20" spans="14:15" x14ac:dyDescent="0.25">
      <c r="N20" s="7" t="s">
        <v>88</v>
      </c>
      <c r="O20" s="8">
        <v>60</v>
      </c>
    </row>
    <row r="21" spans="14:15" x14ac:dyDescent="0.25">
      <c r="N21" s="7" t="s">
        <v>89</v>
      </c>
      <c r="O21" s="8">
        <v>9.8000000000000007</v>
      </c>
    </row>
    <row r="22" spans="14:15" x14ac:dyDescent="0.25">
      <c r="N22" s="7" t="s">
        <v>90</v>
      </c>
      <c r="O22" s="8">
        <v>2.5399999999999999E-2</v>
      </c>
    </row>
    <row r="23" spans="14:15" x14ac:dyDescent="0.25">
      <c r="N23" s="7" t="s">
        <v>91</v>
      </c>
      <c r="O23" s="8">
        <v>0.30480000000000002</v>
      </c>
    </row>
    <row r="24" spans="14:15" x14ac:dyDescent="0.25">
      <c r="N24" s="61" t="s">
        <v>92</v>
      </c>
      <c r="O24" s="62">
        <f>O14/O16*O18*O4</f>
        <v>2348.4848484848485</v>
      </c>
    </row>
    <row r="25" spans="14:15" ht="15.75" thickBot="1" x14ac:dyDescent="0.3">
      <c r="N25" s="9" t="s">
        <v>93</v>
      </c>
      <c r="O25" s="10">
        <v>6894.8</v>
      </c>
    </row>
    <row r="26" spans="14:15" ht="15.75" thickBot="1" x14ac:dyDescent="0.3"/>
    <row r="27" spans="14:15" ht="15.75" thickBot="1" x14ac:dyDescent="0.3">
      <c r="N27" s="1" t="s">
        <v>0</v>
      </c>
    </row>
    <row r="28" spans="14:15" x14ac:dyDescent="0.25">
      <c r="N28" s="2" t="s">
        <v>1</v>
      </c>
    </row>
    <row r="29" spans="14:15" x14ac:dyDescent="0.25">
      <c r="N29" s="3" t="s">
        <v>2</v>
      </c>
    </row>
    <row r="30" spans="14:15" ht="15.75" thickBot="1" x14ac:dyDescent="0.3">
      <c r="N30" s="4" t="s">
        <v>3</v>
      </c>
    </row>
  </sheetData>
  <mergeCells count="5">
    <mergeCell ref="A1:L1"/>
    <mergeCell ref="N2:O2"/>
    <mergeCell ref="A5:I5"/>
    <mergeCell ref="A9:I9"/>
    <mergeCell ref="N11:O11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E1997C-9E58-4359-8B38-A729F6064132}">
  <dimension ref="A1:O30"/>
  <sheetViews>
    <sheetView workbookViewId="0">
      <selection activeCell="I14" sqref="I14"/>
    </sheetView>
  </sheetViews>
  <sheetFormatPr defaultRowHeight="15" x14ac:dyDescent="0.25"/>
  <cols>
    <col min="1" max="1" width="30.28515625" bestFit="1" customWidth="1"/>
    <col min="2" max="2" width="22.85546875" bestFit="1" customWidth="1"/>
    <col min="3" max="3" width="22.42578125" bestFit="1" customWidth="1"/>
    <col min="4" max="4" width="19" bestFit="1" customWidth="1"/>
    <col min="5" max="5" width="18.7109375" bestFit="1" customWidth="1"/>
    <col min="6" max="6" width="26.28515625" bestFit="1" customWidth="1"/>
    <col min="7" max="7" width="29" bestFit="1" customWidth="1"/>
    <col min="8" max="8" width="27.7109375" bestFit="1" customWidth="1"/>
    <col min="9" max="9" width="31.42578125" bestFit="1" customWidth="1"/>
    <col min="10" max="10" width="23.85546875" bestFit="1" customWidth="1"/>
    <col min="11" max="11" width="14.28515625" bestFit="1" customWidth="1"/>
    <col min="12" max="12" width="15.28515625" bestFit="1" customWidth="1"/>
    <col min="14" max="14" width="24.42578125" bestFit="1" customWidth="1"/>
    <col min="15" max="15" width="12.5703125" bestFit="1" customWidth="1"/>
  </cols>
  <sheetData>
    <row r="1" spans="1:15" ht="15.75" thickBot="1" x14ac:dyDescent="0.3">
      <c r="A1" s="81" t="s">
        <v>94</v>
      </c>
      <c r="B1" s="82"/>
      <c r="C1" s="82"/>
      <c r="D1" s="82"/>
      <c r="E1" s="82"/>
      <c r="F1" s="82"/>
      <c r="G1" s="82"/>
      <c r="H1" s="82"/>
      <c r="I1" s="82"/>
      <c r="J1" s="82"/>
      <c r="K1" s="82"/>
      <c r="L1" s="83"/>
    </row>
    <row r="2" spans="1:15" ht="15.75" thickBot="1" x14ac:dyDescent="0.3">
      <c r="A2" s="37" t="s">
        <v>95</v>
      </c>
      <c r="B2" s="38" t="s">
        <v>96</v>
      </c>
      <c r="C2" s="38" t="s">
        <v>97</v>
      </c>
      <c r="D2" s="38" t="s">
        <v>98</v>
      </c>
      <c r="E2" s="38" t="s">
        <v>99</v>
      </c>
      <c r="F2" s="38" t="s">
        <v>100</v>
      </c>
      <c r="G2" s="38" t="s">
        <v>101</v>
      </c>
      <c r="H2" s="38" t="s">
        <v>102</v>
      </c>
      <c r="I2" s="38" t="s">
        <v>103</v>
      </c>
      <c r="J2" s="38" t="s">
        <v>104</v>
      </c>
      <c r="K2" s="38" t="s">
        <v>105</v>
      </c>
      <c r="L2" s="39" t="s">
        <v>106</v>
      </c>
      <c r="N2" s="84" t="s">
        <v>78</v>
      </c>
      <c r="O2" s="85"/>
    </row>
    <row r="3" spans="1:15" ht="15.75" thickBot="1" x14ac:dyDescent="0.3">
      <c r="A3" s="12" t="s">
        <v>107</v>
      </c>
      <c r="B3" s="63">
        <v>1</v>
      </c>
      <c r="C3" s="64">
        <f>B3*O22</f>
        <v>2.5399999999999999E-2</v>
      </c>
      <c r="D3" s="63">
        <v>1.25</v>
      </c>
      <c r="E3" s="63">
        <v>5</v>
      </c>
      <c r="F3" s="64">
        <f>E3*O23</f>
        <v>1.524</v>
      </c>
      <c r="G3" s="63" t="s">
        <v>108</v>
      </c>
      <c r="H3" s="64">
        <f>O8/(PI()*C3^2/4)</f>
        <v>0.24918247997348297</v>
      </c>
      <c r="I3" s="64">
        <f>H3*C3/O6</f>
        <v>2637.1812463860283</v>
      </c>
      <c r="J3" s="65">
        <f>0.002/1000/C3</f>
        <v>7.8740157480314957E-5</v>
      </c>
      <c r="K3" s="64">
        <f>16/I3</f>
        <v>6.0670839449985733E-3</v>
      </c>
      <c r="L3" s="66">
        <f>K3*4*F3/C3</f>
        <v>1.4561001467996577</v>
      </c>
      <c r="N3" s="59" t="s">
        <v>18</v>
      </c>
      <c r="O3" s="6">
        <v>298</v>
      </c>
    </row>
    <row r="4" spans="1:15" ht="15.75" thickBot="1" x14ac:dyDescent="0.3">
      <c r="N4" s="20" t="s">
        <v>79</v>
      </c>
      <c r="O4" s="8">
        <v>1000</v>
      </c>
    </row>
    <row r="5" spans="1:15" ht="15.75" thickBot="1" x14ac:dyDescent="0.3">
      <c r="A5" s="81" t="s">
        <v>109</v>
      </c>
      <c r="B5" s="82"/>
      <c r="C5" s="82"/>
      <c r="D5" s="82"/>
      <c r="E5" s="82"/>
      <c r="F5" s="82"/>
      <c r="G5" s="82"/>
      <c r="H5" s="82"/>
      <c r="I5" s="83"/>
      <c r="N5" s="20" t="s">
        <v>80</v>
      </c>
      <c r="O5" s="60">
        <f>2.4*10^-3</f>
        <v>2.3999999999999998E-3</v>
      </c>
    </row>
    <row r="6" spans="1:15" ht="15.75" thickBot="1" x14ac:dyDescent="0.3">
      <c r="A6" s="12" t="s">
        <v>16</v>
      </c>
      <c r="B6" s="13" t="s">
        <v>110</v>
      </c>
      <c r="C6" s="13" t="s">
        <v>111</v>
      </c>
      <c r="D6" s="13" t="s">
        <v>112</v>
      </c>
      <c r="E6" s="13" t="s">
        <v>113</v>
      </c>
      <c r="F6" s="13" t="s">
        <v>114</v>
      </c>
      <c r="G6" s="13" t="s">
        <v>115</v>
      </c>
      <c r="H6" s="13" t="s">
        <v>116</v>
      </c>
      <c r="I6" s="14" t="s">
        <v>117</v>
      </c>
      <c r="N6" s="20" t="s">
        <v>81</v>
      </c>
      <c r="O6" s="60">
        <f>O5/O4</f>
        <v>2.3999999999999999E-6</v>
      </c>
    </row>
    <row r="7" spans="1:15" ht="15.75" thickBot="1" x14ac:dyDescent="0.3">
      <c r="A7" s="30" t="s">
        <v>118</v>
      </c>
      <c r="B7" s="31">
        <v>10</v>
      </c>
      <c r="C7" s="32">
        <f>B7*O25</f>
        <v>68948</v>
      </c>
      <c r="D7" s="32">
        <f>C7/O4/O21</f>
        <v>7.0355102040816311</v>
      </c>
      <c r="E7" s="31">
        <v>0</v>
      </c>
      <c r="F7" s="32">
        <f>E7*O23</f>
        <v>0</v>
      </c>
      <c r="G7" s="32">
        <f>L3/C3^4</f>
        <v>3498294.5958505683</v>
      </c>
      <c r="H7" s="67">
        <f>G7*8*O8^2/(O21*PI()^2)</f>
        <v>4.6128590218456108E-3</v>
      </c>
      <c r="I7" s="68">
        <f>H7+F7+D7</f>
        <v>7.0401230631034766</v>
      </c>
      <c r="N7" s="20" t="s">
        <v>82</v>
      </c>
      <c r="O7" s="8">
        <v>2</v>
      </c>
    </row>
    <row r="8" spans="1:15" ht="15.75" thickBot="1" x14ac:dyDescent="0.3">
      <c r="N8" s="20" t="s">
        <v>83</v>
      </c>
      <c r="O8" s="60">
        <f>O7/O16*O18/O20</f>
        <v>1.2626262626262626E-4</v>
      </c>
    </row>
    <row r="9" spans="1:15" ht="15.75" thickBot="1" x14ac:dyDescent="0.3">
      <c r="A9" s="81" t="s">
        <v>119</v>
      </c>
      <c r="B9" s="82"/>
      <c r="C9" s="82"/>
      <c r="D9" s="82"/>
      <c r="E9" s="82"/>
      <c r="F9" s="82"/>
      <c r="G9" s="82"/>
      <c r="H9" s="82"/>
      <c r="I9" s="83"/>
      <c r="N9" s="44" t="s">
        <v>84</v>
      </c>
      <c r="O9" s="10">
        <f>O8*O4</f>
        <v>0.12626262626262627</v>
      </c>
    </row>
    <row r="10" spans="1:15" ht="15.75" thickBot="1" x14ac:dyDescent="0.3">
      <c r="A10" s="69" t="s">
        <v>120</v>
      </c>
      <c r="B10" s="70" t="s">
        <v>121</v>
      </c>
      <c r="C10" s="70" t="s">
        <v>122</v>
      </c>
      <c r="D10" s="70" t="s">
        <v>123</v>
      </c>
      <c r="E10" s="70" t="s">
        <v>124</v>
      </c>
      <c r="F10" s="70" t="s">
        <v>125</v>
      </c>
      <c r="G10" s="70" t="s">
        <v>126</v>
      </c>
      <c r="H10" s="70" t="s">
        <v>127</v>
      </c>
      <c r="I10" s="71" t="s">
        <v>128</v>
      </c>
    </row>
    <row r="11" spans="1:15" ht="15.75" thickBot="1" x14ac:dyDescent="0.3">
      <c r="A11" s="72" t="s">
        <v>41</v>
      </c>
      <c r="B11" s="42">
        <v>0.7</v>
      </c>
      <c r="C11" s="41">
        <f>I7*O21*O4*O8/B11</f>
        <v>12.44466198023342</v>
      </c>
      <c r="D11" s="73" t="s">
        <v>129</v>
      </c>
      <c r="E11" s="73" t="s">
        <v>129</v>
      </c>
      <c r="F11" s="42">
        <f>O9</f>
        <v>0.12626262626262627</v>
      </c>
      <c r="G11" s="74">
        <f>C11/F11</f>
        <v>98.561722883448681</v>
      </c>
      <c r="H11" s="75">
        <f>C11/1000/F11/3600</f>
        <v>2.7378256356513523E-5</v>
      </c>
      <c r="I11" s="76">
        <f>H11*O24</f>
        <v>6.4297420231206005E-3</v>
      </c>
      <c r="N11" s="86" t="s">
        <v>85</v>
      </c>
      <c r="O11" s="87"/>
    </row>
    <row r="12" spans="1:15" ht="15.75" thickBot="1" x14ac:dyDescent="0.3">
      <c r="A12" s="9" t="s">
        <v>130</v>
      </c>
      <c r="B12" s="46">
        <v>0.7</v>
      </c>
      <c r="C12" s="46">
        <f>240*10/B12</f>
        <v>3428.5714285714289</v>
      </c>
      <c r="D12" s="46">
        <v>36</v>
      </c>
      <c r="E12" s="47">
        <f>D12*3600</f>
        <v>129600</v>
      </c>
      <c r="F12" s="77">
        <f>O14/O16*O18*O4/E12</f>
        <v>1.8121025065469512E-3</v>
      </c>
      <c r="G12" s="78">
        <f>C12/F12</f>
        <v>1892040.5529953917</v>
      </c>
      <c r="H12" s="77">
        <f>C12/1000/F12/3600</f>
        <v>0.5255668202764977</v>
      </c>
      <c r="I12" s="79">
        <f>H12*O24</f>
        <v>123.42857142857144</v>
      </c>
      <c r="N12" s="5" t="s">
        <v>5</v>
      </c>
      <c r="O12" s="6">
        <v>8.3000000000000004E-2</v>
      </c>
    </row>
    <row r="13" spans="1:15" x14ac:dyDescent="0.25">
      <c r="N13" s="7" t="s">
        <v>6</v>
      </c>
      <c r="O13" s="8">
        <v>14.5</v>
      </c>
    </row>
    <row r="14" spans="1:15" x14ac:dyDescent="0.25">
      <c r="I14" s="80"/>
      <c r="N14" s="7" t="s">
        <v>12</v>
      </c>
      <c r="O14" s="8">
        <v>62</v>
      </c>
    </row>
    <row r="15" spans="1:15" x14ac:dyDescent="0.25">
      <c r="N15" s="7" t="s">
        <v>86</v>
      </c>
      <c r="O15" s="8">
        <f>O14/O16/1000</f>
        <v>0.23484848484848483</v>
      </c>
    </row>
    <row r="16" spans="1:15" x14ac:dyDescent="0.25">
      <c r="N16" s="7" t="s">
        <v>7</v>
      </c>
      <c r="O16" s="8">
        <v>0.26400000000000001</v>
      </c>
    </row>
    <row r="17" spans="14:15" x14ac:dyDescent="0.25">
      <c r="N17" s="7" t="s">
        <v>8</v>
      </c>
      <c r="O17" s="8">
        <f>O12*O13*O16</f>
        <v>0.31772400000000001</v>
      </c>
    </row>
    <row r="18" spans="14:15" x14ac:dyDescent="0.25">
      <c r="N18" s="7" t="s">
        <v>87</v>
      </c>
      <c r="O18" s="60">
        <v>1E-3</v>
      </c>
    </row>
    <row r="19" spans="14:15" x14ac:dyDescent="0.25">
      <c r="N19" s="7" t="s">
        <v>14</v>
      </c>
      <c r="O19" s="8">
        <v>44.01</v>
      </c>
    </row>
    <row r="20" spans="14:15" x14ac:dyDescent="0.25">
      <c r="N20" s="7" t="s">
        <v>88</v>
      </c>
      <c r="O20" s="8">
        <v>60</v>
      </c>
    </row>
    <row r="21" spans="14:15" x14ac:dyDescent="0.25">
      <c r="N21" s="7" t="s">
        <v>89</v>
      </c>
      <c r="O21" s="8">
        <v>9.8000000000000007</v>
      </c>
    </row>
    <row r="22" spans="14:15" x14ac:dyDescent="0.25">
      <c r="N22" s="7" t="s">
        <v>90</v>
      </c>
      <c r="O22" s="8">
        <v>2.5399999999999999E-2</v>
      </c>
    </row>
    <row r="23" spans="14:15" x14ac:dyDescent="0.25">
      <c r="N23" s="7" t="s">
        <v>91</v>
      </c>
      <c r="O23" s="8">
        <v>0.30480000000000002</v>
      </c>
    </row>
    <row r="24" spans="14:15" x14ac:dyDescent="0.25">
      <c r="N24" s="61" t="s">
        <v>92</v>
      </c>
      <c r="O24" s="62">
        <f>O14/O16*O18*O4</f>
        <v>234.84848484848487</v>
      </c>
    </row>
    <row r="25" spans="14:15" ht="15.75" thickBot="1" x14ac:dyDescent="0.3">
      <c r="N25" s="9" t="s">
        <v>93</v>
      </c>
      <c r="O25" s="10">
        <v>6894.8</v>
      </c>
    </row>
    <row r="26" spans="14:15" ht="15.75" thickBot="1" x14ac:dyDescent="0.3"/>
    <row r="27" spans="14:15" ht="15.75" thickBot="1" x14ac:dyDescent="0.3">
      <c r="N27" s="1" t="s">
        <v>0</v>
      </c>
    </row>
    <row r="28" spans="14:15" x14ac:dyDescent="0.25">
      <c r="N28" s="2" t="s">
        <v>1</v>
      </c>
    </row>
    <row r="29" spans="14:15" x14ac:dyDescent="0.25">
      <c r="N29" s="3" t="s">
        <v>2</v>
      </c>
    </row>
    <row r="30" spans="14:15" ht="15.75" thickBot="1" x14ac:dyDescent="0.3">
      <c r="N30" s="4" t="s">
        <v>3</v>
      </c>
    </row>
  </sheetData>
  <mergeCells count="5">
    <mergeCell ref="A1:L1"/>
    <mergeCell ref="N2:O2"/>
    <mergeCell ref="A5:I5"/>
    <mergeCell ref="A9:I9"/>
    <mergeCell ref="N11:O11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16F1F4-71AA-4B0C-9F90-6D5F4D4AA457}">
  <dimension ref="A1:O30"/>
  <sheetViews>
    <sheetView workbookViewId="0">
      <selection activeCell="H21" sqref="H21"/>
    </sheetView>
  </sheetViews>
  <sheetFormatPr defaultRowHeight="15" x14ac:dyDescent="0.25"/>
  <cols>
    <col min="1" max="1" width="30.28515625" bestFit="1" customWidth="1"/>
    <col min="2" max="2" width="22.85546875" bestFit="1" customWidth="1"/>
    <col min="3" max="3" width="22.42578125" bestFit="1" customWidth="1"/>
    <col min="4" max="4" width="19" bestFit="1" customWidth="1"/>
    <col min="5" max="5" width="18.7109375" bestFit="1" customWidth="1"/>
    <col min="6" max="6" width="26.28515625" bestFit="1" customWidth="1"/>
    <col min="7" max="7" width="29" bestFit="1" customWidth="1"/>
    <col min="8" max="8" width="27.7109375" bestFit="1" customWidth="1"/>
    <col min="9" max="9" width="31.42578125" bestFit="1" customWidth="1"/>
    <col min="10" max="10" width="23.85546875" bestFit="1" customWidth="1"/>
    <col min="11" max="11" width="14.28515625" bestFit="1" customWidth="1"/>
    <col min="12" max="12" width="15.28515625" bestFit="1" customWidth="1"/>
    <col min="14" max="14" width="24.42578125" bestFit="1" customWidth="1"/>
    <col min="15" max="15" width="12.5703125" bestFit="1" customWidth="1"/>
  </cols>
  <sheetData>
    <row r="1" spans="1:15" ht="15.75" thickBot="1" x14ac:dyDescent="0.3">
      <c r="A1" s="81" t="s">
        <v>94</v>
      </c>
      <c r="B1" s="82"/>
      <c r="C1" s="82"/>
      <c r="D1" s="82"/>
      <c r="E1" s="82"/>
      <c r="F1" s="82"/>
      <c r="G1" s="82"/>
      <c r="H1" s="82"/>
      <c r="I1" s="82"/>
      <c r="J1" s="82"/>
      <c r="K1" s="82"/>
      <c r="L1" s="83"/>
    </row>
    <row r="2" spans="1:15" ht="15.75" thickBot="1" x14ac:dyDescent="0.3">
      <c r="A2" s="37" t="s">
        <v>95</v>
      </c>
      <c r="B2" s="38" t="s">
        <v>96</v>
      </c>
      <c r="C2" s="38" t="s">
        <v>97</v>
      </c>
      <c r="D2" s="38" t="s">
        <v>98</v>
      </c>
      <c r="E2" s="38" t="s">
        <v>99</v>
      </c>
      <c r="F2" s="38" t="s">
        <v>100</v>
      </c>
      <c r="G2" s="38" t="s">
        <v>101</v>
      </c>
      <c r="H2" s="38" t="s">
        <v>102</v>
      </c>
      <c r="I2" s="38" t="s">
        <v>103</v>
      </c>
      <c r="J2" s="38" t="s">
        <v>104</v>
      </c>
      <c r="K2" s="38" t="s">
        <v>105</v>
      </c>
      <c r="L2" s="39" t="s">
        <v>106</v>
      </c>
      <c r="N2" s="84" t="s">
        <v>78</v>
      </c>
      <c r="O2" s="85"/>
    </row>
    <row r="3" spans="1:15" ht="15.75" thickBot="1" x14ac:dyDescent="0.3">
      <c r="A3" s="12" t="s">
        <v>107</v>
      </c>
      <c r="B3" s="63">
        <v>1</v>
      </c>
      <c r="C3" s="64">
        <f>B3*O22</f>
        <v>2.5399999999999999E-2</v>
      </c>
      <c r="D3" s="63">
        <v>1.25</v>
      </c>
      <c r="E3" s="63">
        <v>5</v>
      </c>
      <c r="F3" s="64">
        <f>E3*O23</f>
        <v>1.524</v>
      </c>
      <c r="G3" s="63" t="s">
        <v>108</v>
      </c>
      <c r="H3" s="64">
        <f>O8/(PI()*C3^2/4)</f>
        <v>0.24918247997348297</v>
      </c>
      <c r="I3" s="64">
        <f>H3*C3/O6</f>
        <v>2637.1812463860283</v>
      </c>
      <c r="J3" s="65">
        <f>0.002/1000/C3</f>
        <v>7.8740157480314957E-5</v>
      </c>
      <c r="K3" s="64">
        <f>16/I3</f>
        <v>6.0670839449985733E-3</v>
      </c>
      <c r="L3" s="66">
        <f>K3*4*F3/C3</f>
        <v>1.4561001467996577</v>
      </c>
      <c r="N3" s="59" t="s">
        <v>18</v>
      </c>
      <c r="O3" s="6">
        <v>298</v>
      </c>
    </row>
    <row r="4" spans="1:15" ht="15.75" thickBot="1" x14ac:dyDescent="0.3">
      <c r="N4" s="20" t="s">
        <v>79</v>
      </c>
      <c r="O4" s="8">
        <v>1000</v>
      </c>
    </row>
    <row r="5" spans="1:15" ht="15.75" thickBot="1" x14ac:dyDescent="0.3">
      <c r="A5" s="81" t="s">
        <v>109</v>
      </c>
      <c r="B5" s="82"/>
      <c r="C5" s="82"/>
      <c r="D5" s="82"/>
      <c r="E5" s="82"/>
      <c r="F5" s="82"/>
      <c r="G5" s="82"/>
      <c r="H5" s="82"/>
      <c r="I5" s="83"/>
      <c r="N5" s="20" t="s">
        <v>80</v>
      </c>
      <c r="O5" s="60">
        <f>2.4*10^-3</f>
        <v>2.3999999999999998E-3</v>
      </c>
    </row>
    <row r="6" spans="1:15" ht="15.75" thickBot="1" x14ac:dyDescent="0.3">
      <c r="A6" s="12" t="s">
        <v>16</v>
      </c>
      <c r="B6" s="13" t="s">
        <v>110</v>
      </c>
      <c r="C6" s="13" t="s">
        <v>111</v>
      </c>
      <c r="D6" s="13" t="s">
        <v>112</v>
      </c>
      <c r="E6" s="13" t="s">
        <v>113</v>
      </c>
      <c r="F6" s="13" t="s">
        <v>114</v>
      </c>
      <c r="G6" s="13" t="s">
        <v>115</v>
      </c>
      <c r="H6" s="13" t="s">
        <v>116</v>
      </c>
      <c r="I6" s="14" t="s">
        <v>117</v>
      </c>
      <c r="N6" s="20" t="s">
        <v>81</v>
      </c>
      <c r="O6" s="60">
        <f>O5/O4</f>
        <v>2.3999999999999999E-6</v>
      </c>
    </row>
    <row r="7" spans="1:15" ht="15.75" thickBot="1" x14ac:dyDescent="0.3">
      <c r="A7" s="30" t="s">
        <v>118</v>
      </c>
      <c r="B7" s="31">
        <v>10</v>
      </c>
      <c r="C7" s="32">
        <f>B7*O25</f>
        <v>68948</v>
      </c>
      <c r="D7" s="32">
        <f>C7/O4/O21</f>
        <v>7.0355102040816311</v>
      </c>
      <c r="E7" s="31">
        <v>0</v>
      </c>
      <c r="F7" s="32">
        <f>E7*O23</f>
        <v>0</v>
      </c>
      <c r="G7" s="32">
        <f>L3/C3^4</f>
        <v>3498294.5958505683</v>
      </c>
      <c r="H7" s="67">
        <f>G7*8*O8^2/(O21*PI()^2)</f>
        <v>4.6128590218456108E-3</v>
      </c>
      <c r="I7" s="68">
        <f>H7+F7+D7</f>
        <v>7.0401230631034766</v>
      </c>
      <c r="N7" s="20" t="s">
        <v>82</v>
      </c>
      <c r="O7" s="8">
        <v>2</v>
      </c>
    </row>
    <row r="8" spans="1:15" ht="15.75" thickBot="1" x14ac:dyDescent="0.3">
      <c r="N8" s="20" t="s">
        <v>83</v>
      </c>
      <c r="O8" s="60">
        <f>O7/O16*O18/O20</f>
        <v>1.2626262626262626E-4</v>
      </c>
    </row>
    <row r="9" spans="1:15" ht="15.75" thickBot="1" x14ac:dyDescent="0.3">
      <c r="A9" s="81" t="s">
        <v>119</v>
      </c>
      <c r="B9" s="82"/>
      <c r="C9" s="82"/>
      <c r="D9" s="82"/>
      <c r="E9" s="82"/>
      <c r="F9" s="82"/>
      <c r="G9" s="82"/>
      <c r="H9" s="82"/>
      <c r="I9" s="83"/>
      <c r="N9" s="44" t="s">
        <v>84</v>
      </c>
      <c r="O9" s="10">
        <f>O8*O4</f>
        <v>0.12626262626262627</v>
      </c>
    </row>
    <row r="10" spans="1:15" ht="15.75" thickBot="1" x14ac:dyDescent="0.3">
      <c r="A10" s="69" t="s">
        <v>120</v>
      </c>
      <c r="B10" s="70" t="s">
        <v>121</v>
      </c>
      <c r="C10" s="70" t="s">
        <v>122</v>
      </c>
      <c r="D10" s="70" t="s">
        <v>123</v>
      </c>
      <c r="E10" s="70" t="s">
        <v>124</v>
      </c>
      <c r="F10" s="70" t="s">
        <v>125</v>
      </c>
      <c r="G10" s="70" t="s">
        <v>126</v>
      </c>
      <c r="H10" s="70" t="s">
        <v>127</v>
      </c>
      <c r="I10" s="71" t="s">
        <v>128</v>
      </c>
    </row>
    <row r="11" spans="1:15" ht="15.75" thickBot="1" x14ac:dyDescent="0.3">
      <c r="A11" s="72" t="s">
        <v>41</v>
      </c>
      <c r="B11" s="42">
        <v>0.7</v>
      </c>
      <c r="C11" s="41">
        <f>I7*O21*O4*O8/B11</f>
        <v>12.44466198023342</v>
      </c>
      <c r="D11" s="73" t="s">
        <v>129</v>
      </c>
      <c r="E11" s="73" t="s">
        <v>129</v>
      </c>
      <c r="F11" s="42">
        <f>O9</f>
        <v>0.12626262626262627</v>
      </c>
      <c r="G11" s="74">
        <f>C11/F11</f>
        <v>98.561722883448681</v>
      </c>
      <c r="H11" s="75">
        <f>C11/1000/F11/3600</f>
        <v>2.7378256356513523E-5</v>
      </c>
      <c r="I11" s="76">
        <f>H11*O24</f>
        <v>6.4297420231206005E-3</v>
      </c>
      <c r="N11" s="86" t="s">
        <v>85</v>
      </c>
      <c r="O11" s="87"/>
    </row>
    <row r="12" spans="1:15" ht="15.75" thickBot="1" x14ac:dyDescent="0.3">
      <c r="A12" s="9" t="s">
        <v>130</v>
      </c>
      <c r="B12" s="46">
        <v>0.7</v>
      </c>
      <c r="C12" s="46">
        <f>240*10/B12</f>
        <v>3428.5714285714289</v>
      </c>
      <c r="D12" s="46">
        <v>144</v>
      </c>
      <c r="E12" s="47">
        <f>D12*3600</f>
        <v>518400</v>
      </c>
      <c r="F12" s="77">
        <f>O14/O16*O18*O4/E12</f>
        <v>4.530256266367378E-4</v>
      </c>
      <c r="G12" s="78">
        <f>C12/F12</f>
        <v>7568162.2119815666</v>
      </c>
      <c r="H12" s="77">
        <f>C12/1000/F12/3600</f>
        <v>2.1022672811059908</v>
      </c>
      <c r="I12" s="79">
        <f>H12*O24</f>
        <v>493.71428571428578</v>
      </c>
      <c r="N12" s="5" t="s">
        <v>5</v>
      </c>
      <c r="O12" s="6">
        <v>8.3000000000000004E-2</v>
      </c>
    </row>
    <row r="13" spans="1:15" x14ac:dyDescent="0.25">
      <c r="N13" s="7" t="s">
        <v>6</v>
      </c>
      <c r="O13" s="8">
        <v>14.5</v>
      </c>
    </row>
    <row r="14" spans="1:15" x14ac:dyDescent="0.25">
      <c r="I14" s="80"/>
      <c r="N14" s="7" t="s">
        <v>12</v>
      </c>
      <c r="O14" s="8">
        <v>62</v>
      </c>
    </row>
    <row r="15" spans="1:15" x14ac:dyDescent="0.25">
      <c r="N15" s="7" t="s">
        <v>86</v>
      </c>
      <c r="O15" s="8">
        <f>O14/O16/1000</f>
        <v>0.23484848484848483</v>
      </c>
    </row>
    <row r="16" spans="1:15" x14ac:dyDescent="0.25">
      <c r="N16" s="7" t="s">
        <v>7</v>
      </c>
      <c r="O16" s="8">
        <v>0.26400000000000001</v>
      </c>
    </row>
    <row r="17" spans="14:15" x14ac:dyDescent="0.25">
      <c r="N17" s="7" t="s">
        <v>8</v>
      </c>
      <c r="O17" s="8">
        <f>O12*O13*O16</f>
        <v>0.31772400000000001</v>
      </c>
    </row>
    <row r="18" spans="14:15" x14ac:dyDescent="0.25">
      <c r="N18" s="7" t="s">
        <v>87</v>
      </c>
      <c r="O18" s="60">
        <v>1E-3</v>
      </c>
    </row>
    <row r="19" spans="14:15" x14ac:dyDescent="0.25">
      <c r="N19" s="7" t="s">
        <v>14</v>
      </c>
      <c r="O19" s="8">
        <v>44.01</v>
      </c>
    </row>
    <row r="20" spans="14:15" x14ac:dyDescent="0.25">
      <c r="N20" s="7" t="s">
        <v>88</v>
      </c>
      <c r="O20" s="8">
        <v>60</v>
      </c>
    </row>
    <row r="21" spans="14:15" x14ac:dyDescent="0.25">
      <c r="N21" s="7" t="s">
        <v>89</v>
      </c>
      <c r="O21" s="8">
        <v>9.8000000000000007</v>
      </c>
    </row>
    <row r="22" spans="14:15" x14ac:dyDescent="0.25">
      <c r="N22" s="7" t="s">
        <v>90</v>
      </c>
      <c r="O22" s="8">
        <v>2.5399999999999999E-2</v>
      </c>
    </row>
    <row r="23" spans="14:15" x14ac:dyDescent="0.25">
      <c r="N23" s="7" t="s">
        <v>91</v>
      </c>
      <c r="O23" s="8">
        <v>0.30480000000000002</v>
      </c>
    </row>
    <row r="24" spans="14:15" x14ac:dyDescent="0.25">
      <c r="N24" s="61" t="s">
        <v>92</v>
      </c>
      <c r="O24" s="62">
        <f>O14/O16*O18*O4</f>
        <v>234.84848484848487</v>
      </c>
    </row>
    <row r="25" spans="14:15" ht="15.75" thickBot="1" x14ac:dyDescent="0.3">
      <c r="N25" s="9" t="s">
        <v>93</v>
      </c>
      <c r="O25" s="10">
        <v>6894.8</v>
      </c>
    </row>
    <row r="26" spans="14:15" ht="15.75" thickBot="1" x14ac:dyDescent="0.3"/>
    <row r="27" spans="14:15" ht="15.75" thickBot="1" x14ac:dyDescent="0.3">
      <c r="N27" s="1" t="s">
        <v>0</v>
      </c>
    </row>
    <row r="28" spans="14:15" x14ac:dyDescent="0.25">
      <c r="N28" s="2" t="s">
        <v>1</v>
      </c>
    </row>
    <row r="29" spans="14:15" x14ac:dyDescent="0.25">
      <c r="N29" s="3" t="s">
        <v>2</v>
      </c>
    </row>
    <row r="30" spans="14:15" ht="15.75" thickBot="1" x14ac:dyDescent="0.3">
      <c r="N30" s="4" t="s">
        <v>3</v>
      </c>
    </row>
  </sheetData>
  <mergeCells count="5">
    <mergeCell ref="A1:L1"/>
    <mergeCell ref="N2:O2"/>
    <mergeCell ref="A5:I5"/>
    <mergeCell ref="A9:I9"/>
    <mergeCell ref="N11:O11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5EACEF-56E8-4D57-BE43-F84F42CDE040}">
  <dimension ref="A1:O30"/>
  <sheetViews>
    <sheetView workbookViewId="0">
      <selection activeCell="I22" sqref="I22"/>
    </sheetView>
  </sheetViews>
  <sheetFormatPr defaultRowHeight="15" x14ac:dyDescent="0.25"/>
  <cols>
    <col min="1" max="1" width="30.28515625" bestFit="1" customWidth="1"/>
    <col min="2" max="2" width="22.85546875" bestFit="1" customWidth="1"/>
    <col min="3" max="3" width="22.42578125" bestFit="1" customWidth="1"/>
    <col min="4" max="4" width="19" bestFit="1" customWidth="1"/>
    <col min="5" max="5" width="18.7109375" bestFit="1" customWidth="1"/>
    <col min="6" max="6" width="26.28515625" bestFit="1" customWidth="1"/>
    <col min="7" max="7" width="29" bestFit="1" customWidth="1"/>
    <col min="8" max="8" width="27.7109375" bestFit="1" customWidth="1"/>
    <col min="9" max="9" width="31.42578125" bestFit="1" customWidth="1"/>
    <col min="10" max="10" width="23.85546875" bestFit="1" customWidth="1"/>
    <col min="11" max="11" width="14.28515625" bestFit="1" customWidth="1"/>
    <col min="12" max="12" width="15.28515625" bestFit="1" customWidth="1"/>
    <col min="14" max="14" width="24.42578125" bestFit="1" customWidth="1"/>
    <col min="15" max="15" width="12.5703125" bestFit="1" customWidth="1"/>
  </cols>
  <sheetData>
    <row r="1" spans="1:15" ht="15.75" thickBot="1" x14ac:dyDescent="0.3">
      <c r="A1" s="81" t="s">
        <v>94</v>
      </c>
      <c r="B1" s="82"/>
      <c r="C1" s="82"/>
      <c r="D1" s="82"/>
      <c r="E1" s="82"/>
      <c r="F1" s="82"/>
      <c r="G1" s="82"/>
      <c r="H1" s="82"/>
      <c r="I1" s="82"/>
      <c r="J1" s="82"/>
      <c r="K1" s="82"/>
      <c r="L1" s="83"/>
    </row>
    <row r="2" spans="1:15" ht="15.75" thickBot="1" x14ac:dyDescent="0.3">
      <c r="A2" s="37" t="s">
        <v>95</v>
      </c>
      <c r="B2" s="38" t="s">
        <v>96</v>
      </c>
      <c r="C2" s="38" t="s">
        <v>97</v>
      </c>
      <c r="D2" s="38" t="s">
        <v>98</v>
      </c>
      <c r="E2" s="38" t="s">
        <v>99</v>
      </c>
      <c r="F2" s="38" t="s">
        <v>100</v>
      </c>
      <c r="G2" s="38" t="s">
        <v>101</v>
      </c>
      <c r="H2" s="38" t="s">
        <v>102</v>
      </c>
      <c r="I2" s="38" t="s">
        <v>103</v>
      </c>
      <c r="J2" s="38" t="s">
        <v>104</v>
      </c>
      <c r="K2" s="38" t="s">
        <v>105</v>
      </c>
      <c r="L2" s="39" t="s">
        <v>106</v>
      </c>
      <c r="N2" s="84" t="s">
        <v>78</v>
      </c>
      <c r="O2" s="85"/>
    </row>
    <row r="3" spans="1:15" ht="15.75" thickBot="1" x14ac:dyDescent="0.3">
      <c r="A3" s="12" t="s">
        <v>107</v>
      </c>
      <c r="B3" s="63">
        <v>1</v>
      </c>
      <c r="C3" s="64">
        <f>B3*O22</f>
        <v>2.5399999999999999E-2</v>
      </c>
      <c r="D3" s="63">
        <v>1.25</v>
      </c>
      <c r="E3" s="63">
        <v>5</v>
      </c>
      <c r="F3" s="64">
        <f>E3*O23</f>
        <v>1.524</v>
      </c>
      <c r="G3" s="63" t="s">
        <v>108</v>
      </c>
      <c r="H3" s="64">
        <f>O8/(PI()*C3^2/4)</f>
        <v>0.24918247997348297</v>
      </c>
      <c r="I3" s="64">
        <f>H3*C3/O6</f>
        <v>2637.1812463860283</v>
      </c>
      <c r="J3" s="65">
        <f>0.002/1000/C3</f>
        <v>7.8740157480314957E-5</v>
      </c>
      <c r="K3" s="64">
        <f>16/I3</f>
        <v>6.0670839449985733E-3</v>
      </c>
      <c r="L3" s="66">
        <f>K3*4*F3/C3</f>
        <v>1.4561001467996577</v>
      </c>
      <c r="N3" s="59" t="s">
        <v>18</v>
      </c>
      <c r="O3" s="6">
        <v>298</v>
      </c>
    </row>
    <row r="4" spans="1:15" ht="15.75" thickBot="1" x14ac:dyDescent="0.3">
      <c r="N4" s="20" t="s">
        <v>79</v>
      </c>
      <c r="O4" s="8">
        <v>1000</v>
      </c>
    </row>
    <row r="5" spans="1:15" ht="15.75" thickBot="1" x14ac:dyDescent="0.3">
      <c r="A5" s="81" t="s">
        <v>109</v>
      </c>
      <c r="B5" s="82"/>
      <c r="C5" s="82"/>
      <c r="D5" s="82"/>
      <c r="E5" s="82"/>
      <c r="F5" s="82"/>
      <c r="G5" s="82"/>
      <c r="H5" s="82"/>
      <c r="I5" s="83"/>
      <c r="N5" s="20" t="s">
        <v>80</v>
      </c>
      <c r="O5" s="60">
        <f>2.4*10^-3</f>
        <v>2.3999999999999998E-3</v>
      </c>
    </row>
    <row r="6" spans="1:15" ht="15.75" thickBot="1" x14ac:dyDescent="0.3">
      <c r="A6" s="12" t="s">
        <v>16</v>
      </c>
      <c r="B6" s="13" t="s">
        <v>110</v>
      </c>
      <c r="C6" s="13" t="s">
        <v>111</v>
      </c>
      <c r="D6" s="13" t="s">
        <v>112</v>
      </c>
      <c r="E6" s="13" t="s">
        <v>113</v>
      </c>
      <c r="F6" s="13" t="s">
        <v>114</v>
      </c>
      <c r="G6" s="13" t="s">
        <v>115</v>
      </c>
      <c r="H6" s="13" t="s">
        <v>116</v>
      </c>
      <c r="I6" s="14" t="s">
        <v>117</v>
      </c>
      <c r="N6" s="20" t="s">
        <v>81</v>
      </c>
      <c r="O6" s="60">
        <f>O5/O4</f>
        <v>2.3999999999999999E-6</v>
      </c>
    </row>
    <row r="7" spans="1:15" ht="15.75" thickBot="1" x14ac:dyDescent="0.3">
      <c r="A7" s="30" t="s">
        <v>118</v>
      </c>
      <c r="B7" s="31">
        <v>10</v>
      </c>
      <c r="C7" s="32">
        <f>B7*O25</f>
        <v>68948</v>
      </c>
      <c r="D7" s="32">
        <f>C7/O4/O21</f>
        <v>7.0355102040816311</v>
      </c>
      <c r="E7" s="31">
        <v>0</v>
      </c>
      <c r="F7" s="32">
        <f>E7*O23</f>
        <v>0</v>
      </c>
      <c r="G7" s="32">
        <f>L3/C3^4</f>
        <v>3498294.5958505683</v>
      </c>
      <c r="H7" s="67">
        <f>G7*8*O8^2/(O21*PI()^2)</f>
        <v>4.6128590218456108E-3</v>
      </c>
      <c r="I7" s="68">
        <f>H7+F7+D7</f>
        <v>7.0401230631034766</v>
      </c>
      <c r="N7" s="20" t="s">
        <v>82</v>
      </c>
      <c r="O7" s="8">
        <v>2</v>
      </c>
    </row>
    <row r="8" spans="1:15" ht="15.75" thickBot="1" x14ac:dyDescent="0.3">
      <c r="N8" s="20" t="s">
        <v>83</v>
      </c>
      <c r="O8" s="60">
        <f>O7/O16*O18/O20</f>
        <v>1.2626262626262626E-4</v>
      </c>
    </row>
    <row r="9" spans="1:15" ht="15.75" thickBot="1" x14ac:dyDescent="0.3">
      <c r="A9" s="81" t="s">
        <v>119</v>
      </c>
      <c r="B9" s="82"/>
      <c r="C9" s="82"/>
      <c r="D9" s="82"/>
      <c r="E9" s="82"/>
      <c r="F9" s="82"/>
      <c r="G9" s="82"/>
      <c r="H9" s="82"/>
      <c r="I9" s="83"/>
      <c r="N9" s="44" t="s">
        <v>84</v>
      </c>
      <c r="O9" s="10">
        <f>O8*O4</f>
        <v>0.12626262626262627</v>
      </c>
    </row>
    <row r="10" spans="1:15" ht="15.75" thickBot="1" x14ac:dyDescent="0.3">
      <c r="A10" s="69" t="s">
        <v>120</v>
      </c>
      <c r="B10" s="70" t="s">
        <v>121</v>
      </c>
      <c r="C10" s="70" t="s">
        <v>122</v>
      </c>
      <c r="D10" s="70" t="s">
        <v>123</v>
      </c>
      <c r="E10" s="70" t="s">
        <v>124</v>
      </c>
      <c r="F10" s="70" t="s">
        <v>125</v>
      </c>
      <c r="G10" s="70" t="s">
        <v>126</v>
      </c>
      <c r="H10" s="70" t="s">
        <v>127</v>
      </c>
      <c r="I10" s="71" t="s">
        <v>128</v>
      </c>
    </row>
    <row r="11" spans="1:15" ht="15.75" thickBot="1" x14ac:dyDescent="0.3">
      <c r="A11" s="72" t="s">
        <v>41</v>
      </c>
      <c r="B11" s="42">
        <v>0.7</v>
      </c>
      <c r="C11" s="41">
        <f>I7*O21*O4*O8/B11</f>
        <v>12.44466198023342</v>
      </c>
      <c r="D11" s="73" t="s">
        <v>129</v>
      </c>
      <c r="E11" s="73" t="s">
        <v>129</v>
      </c>
      <c r="F11" s="42">
        <f>O9</f>
        <v>0.12626262626262627</v>
      </c>
      <c r="G11" s="74">
        <f>C11/F11</f>
        <v>98.561722883448681</v>
      </c>
      <c r="H11" s="75">
        <f>C11/1000/F11/3600</f>
        <v>2.7378256356513523E-5</v>
      </c>
      <c r="I11" s="76">
        <f>H11*O24</f>
        <v>6.4297420231206005E-3</v>
      </c>
      <c r="N11" s="86" t="s">
        <v>85</v>
      </c>
      <c r="O11" s="87"/>
    </row>
    <row r="12" spans="1:15" ht="15.75" thickBot="1" x14ac:dyDescent="0.3">
      <c r="A12" s="9" t="s">
        <v>130</v>
      </c>
      <c r="B12" s="46">
        <v>0.7</v>
      </c>
      <c r="C12" s="46">
        <f>240*10/B12</f>
        <v>3428.5714285714289</v>
      </c>
      <c r="D12" s="46">
        <v>288</v>
      </c>
      <c r="E12" s="47">
        <f>D12*3600</f>
        <v>1036800</v>
      </c>
      <c r="F12" s="77">
        <f>O14/O16*O18*O4/E12</f>
        <v>2.265128133183689E-4</v>
      </c>
      <c r="G12" s="78">
        <f>C12/F12</f>
        <v>15136324.423963133</v>
      </c>
      <c r="H12" s="77">
        <f>C12/1000/F12/3600</f>
        <v>4.2045345622119816</v>
      </c>
      <c r="I12" s="79">
        <f>H12*O24</f>
        <v>987.42857142857156</v>
      </c>
      <c r="N12" s="5" t="s">
        <v>5</v>
      </c>
      <c r="O12" s="6">
        <v>8.3000000000000004E-2</v>
      </c>
    </row>
    <row r="13" spans="1:15" x14ac:dyDescent="0.25">
      <c r="N13" s="7" t="s">
        <v>6</v>
      </c>
      <c r="O13" s="8">
        <v>14.5</v>
      </c>
    </row>
    <row r="14" spans="1:15" x14ac:dyDescent="0.25">
      <c r="I14" s="80"/>
      <c r="N14" s="7" t="s">
        <v>12</v>
      </c>
      <c r="O14" s="8">
        <v>62</v>
      </c>
    </row>
    <row r="15" spans="1:15" x14ac:dyDescent="0.25">
      <c r="N15" s="7" t="s">
        <v>86</v>
      </c>
      <c r="O15" s="8">
        <f>O14/O16/1000</f>
        <v>0.23484848484848483</v>
      </c>
    </row>
    <row r="16" spans="1:15" x14ac:dyDescent="0.25">
      <c r="N16" s="7" t="s">
        <v>7</v>
      </c>
      <c r="O16" s="8">
        <v>0.26400000000000001</v>
      </c>
    </row>
    <row r="17" spans="14:15" x14ac:dyDescent="0.25">
      <c r="N17" s="7" t="s">
        <v>8</v>
      </c>
      <c r="O17" s="8">
        <f>O12*O13*O16</f>
        <v>0.31772400000000001</v>
      </c>
    </row>
    <row r="18" spans="14:15" x14ac:dyDescent="0.25">
      <c r="N18" s="7" t="s">
        <v>87</v>
      </c>
      <c r="O18" s="60">
        <v>1E-3</v>
      </c>
    </row>
    <row r="19" spans="14:15" x14ac:dyDescent="0.25">
      <c r="N19" s="7" t="s">
        <v>14</v>
      </c>
      <c r="O19" s="8">
        <v>44.01</v>
      </c>
    </row>
    <row r="20" spans="14:15" x14ac:dyDescent="0.25">
      <c r="N20" s="7" t="s">
        <v>88</v>
      </c>
      <c r="O20" s="8">
        <v>60</v>
      </c>
    </row>
    <row r="21" spans="14:15" x14ac:dyDescent="0.25">
      <c r="N21" s="7" t="s">
        <v>89</v>
      </c>
      <c r="O21" s="8">
        <v>9.8000000000000007</v>
      </c>
    </row>
    <row r="22" spans="14:15" x14ac:dyDescent="0.25">
      <c r="N22" s="7" t="s">
        <v>90</v>
      </c>
      <c r="O22" s="8">
        <v>2.5399999999999999E-2</v>
      </c>
    </row>
    <row r="23" spans="14:15" x14ac:dyDescent="0.25">
      <c r="N23" s="7" t="s">
        <v>91</v>
      </c>
      <c r="O23" s="8">
        <v>0.30480000000000002</v>
      </c>
    </row>
    <row r="24" spans="14:15" x14ac:dyDescent="0.25">
      <c r="N24" s="61" t="s">
        <v>92</v>
      </c>
      <c r="O24" s="62">
        <f>O14/O16*O18*O4</f>
        <v>234.84848484848487</v>
      </c>
    </row>
    <row r="25" spans="14:15" ht="15.75" thickBot="1" x14ac:dyDescent="0.3">
      <c r="N25" s="9" t="s">
        <v>93</v>
      </c>
      <c r="O25" s="10">
        <v>6894.8</v>
      </c>
    </row>
    <row r="26" spans="14:15" ht="15.75" thickBot="1" x14ac:dyDescent="0.3"/>
    <row r="27" spans="14:15" ht="15.75" thickBot="1" x14ac:dyDescent="0.3">
      <c r="N27" s="1" t="s">
        <v>0</v>
      </c>
    </row>
    <row r="28" spans="14:15" x14ac:dyDescent="0.25">
      <c r="N28" s="2" t="s">
        <v>1</v>
      </c>
    </row>
    <row r="29" spans="14:15" x14ac:dyDescent="0.25">
      <c r="N29" s="3" t="s">
        <v>2</v>
      </c>
    </row>
    <row r="30" spans="14:15" ht="15.75" thickBot="1" x14ac:dyDescent="0.3">
      <c r="N30" s="4" t="s">
        <v>3</v>
      </c>
    </row>
  </sheetData>
  <mergeCells count="5">
    <mergeCell ref="A1:L1"/>
    <mergeCell ref="N2:O2"/>
    <mergeCell ref="A5:I5"/>
    <mergeCell ref="A9:I9"/>
    <mergeCell ref="N11:O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README</vt:lpstr>
      <vt:lpstr>Baseline_CO2</vt:lpstr>
      <vt:lpstr>Baseline_Energy</vt:lpstr>
      <vt:lpstr>75%Chiller_Energy</vt:lpstr>
      <vt:lpstr>50%Chiller_Energy</vt:lpstr>
      <vt:lpstr>25%Chiller_Energy</vt:lpstr>
      <vt:lpstr>5Barrel_CO2</vt:lpstr>
      <vt:lpstr>5Barrel_Energy</vt:lpstr>
      <vt:lpstr>10Barrel_CO2</vt:lpstr>
      <vt:lpstr>10Barrel_Energy</vt:lpstr>
      <vt:lpstr>20Barrel_CO2</vt:lpstr>
      <vt:lpstr>20Barrel_Energy</vt:lpstr>
      <vt:lpstr>36h_Energy</vt:lpstr>
      <vt:lpstr>144h_Energy</vt:lpstr>
      <vt:lpstr>288h_Energy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Jean, Alexandra B</dc:creator>
  <cp:lastModifiedBy>Jean, Alexandra B</cp:lastModifiedBy>
  <dcterms:created xsi:type="dcterms:W3CDTF">2026-04-22T15:28:28Z</dcterms:created>
  <dcterms:modified xsi:type="dcterms:W3CDTF">2026-04-22T15:57:01Z</dcterms:modified>
</cp:coreProperties>
</file>