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pi.box.com/wopi/files/2206724418585/WOPIServiceId_TP_BOX_2/WOPIUserId_-/"/>
    </mc:Choice>
  </mc:AlternateContent>
  <xr:revisionPtr revIDLastSave="56" documentId="8_{698ABD18-3369-43D9-98A3-43482DD935EE}" xr6:coauthVersionLast="47" xr6:coauthVersionMax="47" xr10:uidLastSave="{D54BBDB4-2799-4DD6-BFE5-A8EA49C8F2FD}"/>
  <bookViews>
    <workbookView xWindow="-28920" yWindow="-120" windowWidth="29040" windowHeight="15840" xr2:uid="{FDC9C4E8-B574-4BE2-93D1-E2A2A97013D7}"/>
  </bookViews>
  <sheets>
    <sheet name="README" sheetId="38" r:id="rId1"/>
    <sheet name="Baseline_CAPEX" sheetId="4" r:id="rId2"/>
    <sheet name="Baseline_OPEX" sheetId="5" r:id="rId3"/>
    <sheet name="75%Chiller_OPEX" sheetId="25" r:id="rId4"/>
    <sheet name="50%Chiller_OPEX" sheetId="26" r:id="rId5"/>
    <sheet name="25%Chiller_OPEX" sheetId="27" r:id="rId6"/>
    <sheet name="5Barrel_CAPEX" sheetId="9" r:id="rId7"/>
    <sheet name="5Barrel_OPEX" sheetId="10" r:id="rId8"/>
    <sheet name="10Barrel_CAPEX" sheetId="14" r:id="rId9"/>
    <sheet name="10Barrel_OPEX" sheetId="15" r:id="rId10"/>
    <sheet name="20Barrel_CAPEX" sheetId="19" r:id="rId11"/>
    <sheet name="20Barrel_OPEX" sheetId="21" r:id="rId12"/>
    <sheet name="2GPM_OPEX" sheetId="35" r:id="rId13"/>
    <sheet name="0.5GPM_OPEX" sheetId="36" r:id="rId14"/>
    <sheet name="0.25GPM_OPEX" sheetId="37"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27" l="1"/>
  <c r="B28" i="5"/>
  <c r="D24" i="5"/>
  <c r="B28" i="25"/>
  <c r="D24" i="25"/>
  <c r="B28" i="26"/>
  <c r="D24" i="26"/>
  <c r="B28" i="27"/>
  <c r="D24" i="27"/>
  <c r="B28" i="10"/>
  <c r="D24" i="10"/>
  <c r="D24" i="35"/>
  <c r="D24" i="15"/>
  <c r="B28" i="15"/>
  <c r="B28" i="21"/>
  <c r="D24" i="21"/>
  <c r="B28" i="35"/>
  <c r="B28" i="36"/>
  <c r="D24" i="36"/>
  <c r="B28" i="37"/>
  <c r="D24" i="37"/>
  <c r="B27" i="10" l="1"/>
  <c r="C5" i="37" l="1"/>
  <c r="C5" i="36"/>
  <c r="C5" i="35"/>
  <c r="C5" i="21"/>
  <c r="C5" i="15"/>
  <c r="C5" i="10"/>
  <c r="C5" i="27"/>
  <c r="C5" i="26"/>
  <c r="C5" i="25"/>
  <c r="C5" i="5"/>
  <c r="E2" i="14" l="1"/>
  <c r="G2" i="14"/>
  <c r="H2" i="4"/>
  <c r="I8" i="9" l="1"/>
  <c r="B27" i="5"/>
  <c r="D15" i="37" l="1"/>
  <c r="C9" i="37"/>
  <c r="B9" i="37"/>
  <c r="D9" i="37" s="1"/>
  <c r="C8" i="37"/>
  <c r="B8" i="37"/>
  <c r="D8" i="37" s="1"/>
  <c r="D5" i="37"/>
  <c r="D15" i="36"/>
  <c r="C9" i="36"/>
  <c r="B9" i="36"/>
  <c r="D9" i="36" s="1"/>
  <c r="C8" i="36"/>
  <c r="B8" i="36"/>
  <c r="D8" i="36" s="1"/>
  <c r="D5" i="36"/>
  <c r="D15" i="35"/>
  <c r="C9" i="35"/>
  <c r="B9" i="35"/>
  <c r="D9" i="35" s="1"/>
  <c r="C8" i="35"/>
  <c r="D8" i="35" s="1"/>
  <c r="B8" i="35"/>
  <c r="D5" i="35"/>
  <c r="C9" i="21" l="1"/>
  <c r="C8" i="21"/>
  <c r="C9" i="15"/>
  <c r="C8" i="15"/>
  <c r="C9" i="10"/>
  <c r="C8" i="10"/>
  <c r="E7" i="19" l="1"/>
  <c r="E6" i="19"/>
  <c r="G6" i="19" s="1"/>
  <c r="H6" i="19" s="1"/>
  <c r="I6" i="19" s="1"/>
  <c r="E5" i="19"/>
  <c r="G5" i="19" s="1"/>
  <c r="H5" i="19" s="1"/>
  <c r="I5" i="19" s="1"/>
  <c r="E4" i="19"/>
  <c r="G4" i="19" s="1"/>
  <c r="H4" i="19" s="1"/>
  <c r="I4" i="19" s="1"/>
  <c r="E3" i="19"/>
  <c r="G3" i="19" s="1"/>
  <c r="H3" i="19" s="1"/>
  <c r="I3" i="19" s="1"/>
  <c r="E2" i="19"/>
  <c r="E7" i="14"/>
  <c r="E6" i="14"/>
  <c r="G6" i="14" s="1"/>
  <c r="H6" i="14" s="1"/>
  <c r="I6" i="14" s="1"/>
  <c r="G5" i="14"/>
  <c r="H5" i="14" s="1"/>
  <c r="I5" i="14" s="1"/>
  <c r="E5" i="14"/>
  <c r="E4" i="14"/>
  <c r="E3" i="14"/>
  <c r="G3" i="14" s="1"/>
  <c r="H3" i="14" s="1"/>
  <c r="I3" i="14" s="1"/>
  <c r="H2" i="14"/>
  <c r="I2" i="14" s="1"/>
  <c r="E7" i="9"/>
  <c r="G7" i="9" s="1"/>
  <c r="H7" i="9" s="1"/>
  <c r="I7" i="9" s="1"/>
  <c r="E6" i="9"/>
  <c r="G6" i="9" s="1"/>
  <c r="H6" i="9" s="1"/>
  <c r="I6" i="9" s="1"/>
  <c r="E5" i="9"/>
  <c r="G5" i="9" s="1"/>
  <c r="H5" i="9" s="1"/>
  <c r="I5" i="9" s="1"/>
  <c r="E4" i="9"/>
  <c r="E3" i="9"/>
  <c r="G3" i="9" s="1"/>
  <c r="H3" i="9" s="1"/>
  <c r="I3" i="9" s="1"/>
  <c r="E2" i="9"/>
  <c r="D15" i="21"/>
  <c r="B9" i="21"/>
  <c r="D9" i="21" s="1"/>
  <c r="B8" i="21"/>
  <c r="D8" i="21" s="1"/>
  <c r="D5" i="21"/>
  <c r="D15" i="15"/>
  <c r="D9" i="15"/>
  <c r="B9" i="15"/>
  <c r="B8" i="15"/>
  <c r="D8" i="15" s="1"/>
  <c r="D5" i="15"/>
  <c r="D15" i="10"/>
  <c r="D9" i="10"/>
  <c r="B9" i="10"/>
  <c r="B8" i="10"/>
  <c r="D8" i="10" s="1"/>
  <c r="D5" i="10"/>
  <c r="C9" i="27"/>
  <c r="B9" i="27"/>
  <c r="C8" i="27"/>
  <c r="B8" i="27"/>
  <c r="D8" i="27" s="1"/>
  <c r="D5" i="27"/>
  <c r="D15" i="26"/>
  <c r="C9" i="26"/>
  <c r="B9" i="26"/>
  <c r="C8" i="26"/>
  <c r="B8" i="26"/>
  <c r="D5" i="26"/>
  <c r="D15" i="25"/>
  <c r="C9" i="25"/>
  <c r="B9" i="25"/>
  <c r="D9" i="25" s="1"/>
  <c r="C8" i="25"/>
  <c r="D8" i="25" s="1"/>
  <c r="B8" i="25"/>
  <c r="D5" i="25"/>
  <c r="E7" i="4"/>
  <c r="E6" i="4"/>
  <c r="G6" i="4" s="1"/>
  <c r="H6" i="4" s="1"/>
  <c r="I6" i="4" s="1"/>
  <c r="E5" i="4"/>
  <c r="G4" i="4"/>
  <c r="H4" i="4" s="1"/>
  <c r="I4" i="4" s="1"/>
  <c r="E4" i="4"/>
  <c r="G3" i="4"/>
  <c r="H3" i="4" s="1"/>
  <c r="I3" i="4" s="1"/>
  <c r="E3" i="4"/>
  <c r="E2" i="4"/>
  <c r="D15" i="5"/>
  <c r="C9" i="5"/>
  <c r="B9" i="5"/>
  <c r="D9" i="5" s="1"/>
  <c r="C8" i="5"/>
  <c r="B8" i="5"/>
  <c r="D8" i="5" s="1"/>
  <c r="D5" i="5"/>
  <c r="D9" i="27" l="1"/>
  <c r="D9" i="26"/>
  <c r="D8" i="26"/>
  <c r="G7" i="19"/>
  <c r="H7" i="19" s="1"/>
  <c r="I7" i="19" s="1"/>
  <c r="G2" i="19"/>
  <c r="H2" i="19" s="1"/>
  <c r="I2" i="19" s="1"/>
  <c r="I8" i="19" s="1"/>
  <c r="B11" i="19" s="1"/>
  <c r="G4" i="14"/>
  <c r="H4" i="14" s="1"/>
  <c r="I4" i="14" s="1"/>
  <c r="G7" i="14"/>
  <c r="H7" i="14" s="1"/>
  <c r="I7" i="14" s="1"/>
  <c r="I8" i="14" s="1"/>
  <c r="B11" i="14" s="1"/>
  <c r="G4" i="9"/>
  <c r="H4" i="9" s="1"/>
  <c r="I4" i="9" s="1"/>
  <c r="G2" i="9"/>
  <c r="H2" i="9" s="1"/>
  <c r="I2" i="9" s="1"/>
  <c r="B11" i="9" s="1"/>
  <c r="G7" i="4"/>
  <c r="H7" i="4" s="1"/>
  <c r="I7" i="4" s="1"/>
  <c r="G2" i="4"/>
  <c r="I2" i="4" s="1"/>
  <c r="I8" i="4" s="1"/>
  <c r="B11" i="4" s="1"/>
  <c r="G5" i="4"/>
  <c r="H5" i="4" s="1"/>
  <c r="I5" i="4" s="1"/>
  <c r="B22" i="15" l="1"/>
  <c r="D22" i="15" s="1"/>
  <c r="B12" i="15"/>
  <c r="D12" i="15" s="1"/>
  <c r="D16" i="15" s="1"/>
  <c r="D17" i="15" s="1"/>
  <c r="B12" i="14"/>
  <c r="B14" i="14" s="1"/>
  <c r="B26" i="15" s="1"/>
  <c r="B27" i="15" s="1"/>
  <c r="B21" i="15"/>
  <c r="D21" i="15" s="1"/>
  <c r="B22" i="21"/>
  <c r="D22" i="21" s="1"/>
  <c r="B21" i="21"/>
  <c r="D21" i="21" s="1"/>
  <c r="B12" i="21"/>
  <c r="D12" i="21" s="1"/>
  <c r="D16" i="21" s="1"/>
  <c r="D17" i="21" s="1"/>
  <c r="B22" i="10"/>
  <c r="D22" i="10" s="1"/>
  <c r="B21" i="10"/>
  <c r="D21" i="10" s="1"/>
  <c r="B12" i="10"/>
  <c r="D12" i="10" s="1"/>
  <c r="D16" i="10" s="1"/>
  <c r="D17" i="10" s="1"/>
  <c r="B22" i="36"/>
  <c r="D22" i="36" s="1"/>
  <c r="B21" i="35"/>
  <c r="D21" i="35" s="1"/>
  <c r="B12" i="37"/>
  <c r="D12" i="37" s="1"/>
  <c r="D16" i="37" s="1"/>
  <c r="D17" i="37" s="1"/>
  <c r="B21" i="36"/>
  <c r="D21" i="36" s="1"/>
  <c r="B22" i="35"/>
  <c r="D22" i="35" s="1"/>
  <c r="B22" i="37"/>
  <c r="D22" i="37" s="1"/>
  <c r="B12" i="36"/>
  <c r="D12" i="36" s="1"/>
  <c r="D16" i="36" s="1"/>
  <c r="B12" i="35"/>
  <c r="D12" i="35" s="1"/>
  <c r="D16" i="35" s="1"/>
  <c r="D17" i="35" s="1"/>
  <c r="B21" i="37"/>
  <c r="D21" i="37" s="1"/>
  <c r="B22" i="27"/>
  <c r="D22" i="27" s="1"/>
  <c r="B21" i="25"/>
  <c r="D21" i="25" s="1"/>
  <c r="B22" i="25"/>
  <c r="D22" i="25" s="1"/>
  <c r="B21" i="27"/>
  <c r="D21" i="27" s="1"/>
  <c r="B22" i="26"/>
  <c r="D22" i="26" s="1"/>
  <c r="B12" i="25"/>
  <c r="D12" i="25" s="1"/>
  <c r="D16" i="25" s="1"/>
  <c r="D17" i="25" s="1"/>
  <c r="B22" i="5"/>
  <c r="D22" i="5" s="1"/>
  <c r="B12" i="27"/>
  <c r="D12" i="27" s="1"/>
  <c r="D16" i="27" s="1"/>
  <c r="D17" i="27" s="1"/>
  <c r="B12" i="26"/>
  <c r="D12" i="26" s="1"/>
  <c r="D16" i="26" s="1"/>
  <c r="D17" i="26" s="1"/>
  <c r="B21" i="26"/>
  <c r="D21" i="26" s="1"/>
  <c r="B21" i="5"/>
  <c r="D21" i="5" s="1"/>
  <c r="B12" i="19"/>
  <c r="B14" i="19" s="1"/>
  <c r="B26" i="21" s="1"/>
  <c r="B27" i="21" s="1"/>
  <c r="B12" i="9"/>
  <c r="B14" i="9" s="1"/>
  <c r="B26" i="10" s="1"/>
  <c r="B12" i="4"/>
  <c r="B14" i="4" s="1"/>
  <c r="B26" i="5" s="1"/>
  <c r="B12" i="5"/>
  <c r="D12" i="5" s="1"/>
  <c r="D16" i="5" s="1"/>
  <c r="D17" i="5" s="1"/>
  <c r="D23" i="10" l="1"/>
  <c r="B29" i="10"/>
  <c r="B31" i="10" s="1"/>
  <c r="D17" i="36"/>
  <c r="D23" i="21"/>
  <c r="B29" i="21" s="1"/>
  <c r="B31" i="21" s="1"/>
  <c r="D23" i="15"/>
  <c r="B29" i="15" s="1"/>
  <c r="B31" i="15" s="1"/>
  <c r="D23" i="26"/>
  <c r="B29" i="26" s="1"/>
  <c r="B31" i="26" s="1"/>
  <c r="D23" i="36"/>
  <c r="D23" i="27"/>
  <c r="B29" i="27" s="1"/>
  <c r="B31" i="27" s="1"/>
  <c r="D23" i="5"/>
  <c r="B29" i="5" s="1"/>
  <c r="B31" i="5" s="1"/>
  <c r="D23" i="35"/>
  <c r="B26" i="36"/>
  <c r="B27" i="36" s="1"/>
  <c r="B26" i="35"/>
  <c r="B27" i="35" s="1"/>
  <c r="B26" i="37"/>
  <c r="B27" i="37" s="1"/>
  <c r="B26" i="26"/>
  <c r="B27" i="26" s="1"/>
  <c r="B26" i="27"/>
  <c r="B27" i="27" s="1"/>
  <c r="B26" i="25"/>
  <c r="B27" i="25" s="1"/>
  <c r="D23" i="25"/>
  <c r="B29" i="25" s="1"/>
  <c r="B31" i="25" s="1"/>
  <c r="D23" i="37"/>
  <c r="B29" i="36" l="1"/>
  <c r="B31" i="36" s="1"/>
  <c r="B29" i="37" l="1"/>
  <c r="B31" i="37" s="1"/>
  <c r="B29" i="35"/>
  <c r="B31" i="35" s="1"/>
</calcChain>
</file>

<file path=xl/sharedStrings.xml><?xml version="1.0" encoding="utf-8"?>
<sst xmlns="http://schemas.openxmlformats.org/spreadsheetml/2006/main" count="685" uniqueCount="111">
  <si>
    <t>Legend</t>
  </si>
  <si>
    <t>Input</t>
  </si>
  <si>
    <t xml:space="preserve">Intermediate Calculations </t>
  </si>
  <si>
    <t xml:space="preserve">Results </t>
  </si>
  <si>
    <t xml:space="preserve">Equipment </t>
  </si>
  <si>
    <t xml:space="preserve">Specifications </t>
  </si>
  <si>
    <t xml:space="preserve">Unit Cost </t>
  </si>
  <si>
    <t xml:space="preserve">Number </t>
  </si>
  <si>
    <t xml:space="preserve">Purchase Price </t>
  </si>
  <si>
    <t xml:space="preserve">Shipping Cost </t>
  </si>
  <si>
    <t>Delivered Cost</t>
  </si>
  <si>
    <t>Total Installed Cost</t>
  </si>
  <si>
    <t xml:space="preserve">Total Equipment Costs </t>
  </si>
  <si>
    <t>TCI</t>
  </si>
  <si>
    <t>Fixed Capital Investment (FCI)</t>
  </si>
  <si>
    <t>USD</t>
  </si>
  <si>
    <t>Working Capital (WCI)</t>
  </si>
  <si>
    <t xml:space="preserve">USD </t>
  </si>
  <si>
    <t xml:space="preserve">15% of FCI - accounts for downtime/instillation time and stockpiling resources </t>
  </si>
  <si>
    <t xml:space="preserve">Land </t>
  </si>
  <si>
    <t xml:space="preserve">Assume brewery is already built and land was allocated to other operations </t>
  </si>
  <si>
    <t xml:space="preserve">Total Capital Investment </t>
  </si>
  <si>
    <t xml:space="preserve">Variable Costs </t>
  </si>
  <si>
    <t xml:space="preserve">Excludes labor - no additional requirements from other brewing operations </t>
  </si>
  <si>
    <t xml:space="preserve">Raw Materials </t>
  </si>
  <si>
    <t>Quantity per 2 bbl batch</t>
  </si>
  <si>
    <t>Cost per Batch</t>
  </si>
  <si>
    <t xml:space="preserve">Notes </t>
  </si>
  <si>
    <t>Carbon Dioxide (USD/50lb tank)</t>
  </si>
  <si>
    <t xml:space="preserve">assume utilize 90% of gas before replacing </t>
  </si>
  <si>
    <t xml:space="preserve">Batches per year </t>
  </si>
  <si>
    <t>Maintenance (USD/year)</t>
  </si>
  <si>
    <t xml:space="preserve">2% of FCI annually </t>
  </si>
  <si>
    <t xml:space="preserve">Utilities </t>
  </si>
  <si>
    <t>Electricity (USD/kWh)</t>
  </si>
  <si>
    <t xml:space="preserve">Average commercial electricity price in Iowa </t>
  </si>
  <si>
    <t>Total Variable Costs (USD/Batch)</t>
  </si>
  <si>
    <t>Total Variable Costs (USD/Year)</t>
  </si>
  <si>
    <t>Fixed Costs</t>
  </si>
  <si>
    <t>Overhead</t>
  </si>
  <si>
    <t>no additional requirements from other brewing operations</t>
  </si>
  <si>
    <t>Local Taxes (USD/year)</t>
  </si>
  <si>
    <t>1.5% FCI</t>
  </si>
  <si>
    <t>Insurance (USD/year)</t>
  </si>
  <si>
    <t>0.6% FCI</t>
  </si>
  <si>
    <t>Total Fixed Costs (USD/Batch)</t>
  </si>
  <si>
    <t>Total Fixed Costs (USD/year)</t>
  </si>
  <si>
    <t>Capital Investment in Year 0</t>
  </si>
  <si>
    <t xml:space="preserve">100% out-of-pocket </t>
  </si>
  <si>
    <t xml:space="preserve">USD/year </t>
  </si>
  <si>
    <t xml:space="preserve">0% equity financity </t>
  </si>
  <si>
    <t xml:space="preserve">Annual Operating Costs </t>
  </si>
  <si>
    <t xml:space="preserve">Batch Operating Costs </t>
  </si>
  <si>
    <t>USD/Batch</t>
  </si>
  <si>
    <t xml:space="preserve">One batch per 2 days (1hr + 1 day for kegging/cleaning/refill); Operations 340 days/year; 170 batches per year per bright tank </t>
  </si>
  <si>
    <t xml:space="preserve">Consumables </t>
  </si>
  <si>
    <t>5 micron filter (USD/filter)</t>
  </si>
  <si>
    <t xml:space="preserve">Assume each filter works for 10 batches </t>
  </si>
  <si>
    <t>1 micron filter (USD/filter)</t>
  </si>
  <si>
    <t xml:space="preserve">3-way valve </t>
  </si>
  <si>
    <t>316 SS 1" NPT</t>
  </si>
  <si>
    <t xml:space="preserve">Filter Housing </t>
  </si>
  <si>
    <t xml:space="preserve">Pureplus 10x4.5 Universal Housing </t>
  </si>
  <si>
    <t xml:space="preserve">Heat Exchanger </t>
  </si>
  <si>
    <t xml:space="preserve">Blichmann Heat Exchanger </t>
  </si>
  <si>
    <t xml:space="preserve">Nozzle </t>
  </si>
  <si>
    <t xml:space="preserve">303 SS Fogging Nozzle </t>
  </si>
  <si>
    <t xml:space="preserve">Kegging Manifold </t>
  </si>
  <si>
    <t>4-Station Keg-filling Manifold</t>
  </si>
  <si>
    <t xml:space="preserve">Flowmeter </t>
  </si>
  <si>
    <t>High Temp Flowmeter 3/4 NPT</t>
  </si>
  <si>
    <t>Quantity per 5 bbl batch</t>
  </si>
  <si>
    <t>Assume each filter works for 10 2-bbl batches (20bbl)</t>
  </si>
  <si>
    <t>Quantity per 10 bbl batch</t>
  </si>
  <si>
    <t xml:space="preserve">Installation Cost </t>
  </si>
  <si>
    <t xml:space="preserve">Annual Depreciation </t>
  </si>
  <si>
    <t>One batch per 1.5 days (1hr + 1 day for kegging/cleaning/refill); Operations 340 days/year; 226 batches per year per bright tank; Assume baseline 85 batches per year</t>
  </si>
  <si>
    <t>Batch Depreciation</t>
  </si>
  <si>
    <t>USD/batch</t>
  </si>
  <si>
    <t xml:space="preserve">Cells in the tabs are color coded acoording to: </t>
  </si>
  <si>
    <t>Tab Name</t>
  </si>
  <si>
    <t>Description</t>
  </si>
  <si>
    <t>Baseline_OPEX</t>
  </si>
  <si>
    <t>75%Chiller_OPEX</t>
  </si>
  <si>
    <t>50%Chiller_OPEX</t>
  </si>
  <si>
    <t>25%Chiller_OPEX</t>
  </si>
  <si>
    <t>5Barrel_OPEX</t>
  </si>
  <si>
    <t>10Barrel_OPEX</t>
  </si>
  <si>
    <t>20Barrel_OPEX</t>
  </si>
  <si>
    <t xml:space="preserve">This file contains the data and calculations for the BGAL configuration techno-economic assessment and sensitivity analyses contained in "Techno-economic analysis and life cycle assessment for the rapid carbonation of beer" </t>
  </si>
  <si>
    <t>Baseline_CAPEX</t>
  </si>
  <si>
    <t xml:space="preserve">capital expenditures for the baseline system: 62 gallon beer carbonated at 1 gpm </t>
  </si>
  <si>
    <t xml:space="preserve">operating expenditures for the baseline system: 62 gallon beer carbonated at 1 gpm </t>
  </si>
  <si>
    <t>operating costs for system utilizing an average of 75% max power demand on the chiller at 1 gpm flowrate; CAPEX is identical to baseline system</t>
  </si>
  <si>
    <t xml:space="preserve">Each tab contains the relavelnt calculations and results for the system of interest. Input parameters from inventory assessment. Capital expenditures reflect the cost to retrotfit an existing bubbled bright tank system </t>
  </si>
  <si>
    <t>operating costs for system utilizing an average of 50% max power demand on the chiller at 1 gpm flowrate; CAPEX is identical to baseline system</t>
  </si>
  <si>
    <t>operating costs for system utilizing an average of 25% max power demand on the chiller at 1 gpm flowrate; CAPEX is identical to baseline system</t>
  </si>
  <si>
    <t>5Barrel_CAPEX</t>
  </si>
  <si>
    <t>10Barrel_CAPEX</t>
  </si>
  <si>
    <t>operating costs for 5 barrel system: 155 gallon beer carbonated at 1 gpm flowrate</t>
  </si>
  <si>
    <t>operating costs for 10 barrel system: 310 gallon beer carbonated at 1gpm flowrate</t>
  </si>
  <si>
    <t>operating costs for 20 barrel system: 620 gallon beer carbonated at 1gpm flowrate</t>
  </si>
  <si>
    <t>capital expenditures for 5 barrel system: 155 gallon beer carbonated at 1 gpm flowrate; identical to baseline system</t>
  </si>
  <si>
    <t>capital expenditures for 10 barrel system: 310 gallon beer carbonated at 1 gpm flowrate; identical to baseline system</t>
  </si>
  <si>
    <t>capital expenditures for 20 barrel system: 620 gallon beer carbonated at 1 gpm flowrate; identical to baseline system</t>
  </si>
  <si>
    <t>2GPM_OPEX</t>
  </si>
  <si>
    <t>0.5GPM_OPEX</t>
  </si>
  <si>
    <t>0.25GPM_OPEX</t>
  </si>
  <si>
    <t>operating costs for system at  2 gpm flowrate</t>
  </si>
  <si>
    <t>operating costs for system at  0.5 gpm flowrate</t>
  </si>
  <si>
    <t>operating costs for system at  0.25 gpm flowrate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</si>
</sst>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s>
  <borders count="3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67">
    <xf numFmtId="0" fontId="0" fillId="0" borderId="0" xfId="0"/>
    <xf numFmtId="0" fontId="0" fillId="0" borderId="6" xfId="0" applyBorder="1"/>
    <xf numFmtId="0" fontId="0" fillId="0" borderId="9" xfId="0" applyBorder="1"/>
    <xf numFmtId="0" fontId="0" fillId="0" borderId="10" xfId="0" applyBorder="1"/>
    <xf numFmtId="0" fontId="0" fillId="0" borderId="11" xfId="0" applyBorder="1"/>
    <xf numFmtId="2" fontId="0" fillId="0" borderId="0" xfId="0" applyNumberFormat="1"/>
    <xf numFmtId="0" fontId="0" fillId="0" borderId="1" xfId="0" applyBorder="1" applyAlignment="1">
      <alignment horizontal="center"/>
    </xf>
    <xf numFmtId="0" fontId="0" fillId="2" borderId="17" xfId="0" applyFill="1" applyBorder="1" applyAlignment="1">
      <alignment horizontal="center"/>
    </xf>
    <xf numFmtId="0" fontId="0" fillId="3" borderId="15" xfId="0" applyFill="1" applyBorder="1" applyAlignment="1">
      <alignment horizontal="center"/>
    </xf>
    <xf numFmtId="0" fontId="0" fillId="4" borderId="16" xfId="0" applyFill="1" applyBorder="1" applyAlignment="1">
      <alignment horizontal="center"/>
    </xf>
    <xf numFmtId="0" fontId="0" fillId="2" borderId="6" xfId="0" applyFill="1" applyBorder="1"/>
    <xf numFmtId="2" fontId="0" fillId="3" borderId="6" xfId="0" applyNumberFormat="1" applyFill="1" applyBorder="1"/>
    <xf numFmtId="2" fontId="0" fillId="0" borderId="6" xfId="0" applyNumberFormat="1" applyBorder="1"/>
    <xf numFmtId="0" fontId="0" fillId="2" borderId="19" xfId="0" applyFill="1" applyBorder="1"/>
    <xf numFmtId="0" fontId="0" fillId="0" borderId="7" xfId="0" applyBorder="1"/>
    <xf numFmtId="2" fontId="0" fillId="3" borderId="20" xfId="0" applyNumberFormat="1" applyFill="1" applyBorder="1"/>
    <xf numFmtId="2" fontId="0" fillId="2" borderId="6" xfId="0" applyNumberFormat="1" applyFill="1" applyBorder="1"/>
    <xf numFmtId="2" fontId="0" fillId="4" borderId="6" xfId="0" applyNumberFormat="1" applyFill="1" applyBorder="1"/>
    <xf numFmtId="2" fontId="0" fillId="3" borderId="12" xfId="0" applyNumberFormat="1" applyFill="1" applyBorder="1"/>
    <xf numFmtId="0" fontId="0" fillId="0" borderId="8" xfId="0" applyBorder="1"/>
    <xf numFmtId="2" fontId="0" fillId="3" borderId="10" xfId="0" applyNumberFormat="1" applyFill="1" applyBorder="1"/>
    <xf numFmtId="0" fontId="0" fillId="0" borderId="23" xfId="0" applyBorder="1"/>
    <xf numFmtId="2" fontId="0" fillId="2" borderId="24" xfId="0" applyNumberFormat="1" applyFill="1" applyBorder="1"/>
    <xf numFmtId="0" fontId="0" fillId="3" borderId="19" xfId="0" applyFill="1" applyBorder="1"/>
    <xf numFmtId="0" fontId="0" fillId="0" borderId="0" xfId="0" applyAlignment="1">
      <alignment wrapText="1"/>
    </xf>
    <xf numFmtId="0" fontId="1" fillId="0" borderId="0" xfId="0" applyFont="1"/>
    <xf numFmtId="0" fontId="1" fillId="0" borderId="2" xfId="0" applyFont="1" applyBorder="1" applyAlignment="1">
      <alignment wrapText="1"/>
    </xf>
    <xf numFmtId="0" fontId="1" fillId="0" borderId="21" xfId="0" applyFont="1" applyBorder="1" applyAlignment="1">
      <alignment wrapText="1"/>
    </xf>
    <xf numFmtId="0" fontId="1" fillId="0" borderId="3" xfId="0" applyFont="1" applyBorder="1" applyAlignment="1">
      <alignment wrapText="1"/>
    </xf>
    <xf numFmtId="0" fontId="1" fillId="0" borderId="4" xfId="0" applyFont="1" applyBorder="1"/>
    <xf numFmtId="0" fontId="0" fillId="0" borderId="22" xfId="0" applyBorder="1"/>
    <xf numFmtId="0" fontId="1" fillId="0" borderId="22" xfId="0" applyFont="1" applyBorder="1"/>
    <xf numFmtId="0" fontId="2" fillId="0" borderId="6" xfId="1" applyBorder="1"/>
    <xf numFmtId="0" fontId="2" fillId="0" borderId="19" xfId="1" applyBorder="1"/>
    <xf numFmtId="0" fontId="0" fillId="3" borderId="6" xfId="0" applyFill="1" applyBorder="1"/>
    <xf numFmtId="2" fontId="1" fillId="4" borderId="5" xfId="0" applyNumberFormat="1" applyFont="1" applyFill="1" applyBorder="1"/>
    <xf numFmtId="0" fontId="0" fillId="2" borderId="24" xfId="0" applyFill="1" applyBorder="1"/>
    <xf numFmtId="0" fontId="0" fillId="0" borderId="25" xfId="0" applyBorder="1"/>
    <xf numFmtId="0" fontId="1" fillId="0" borderId="6" xfId="0" applyFont="1" applyBorder="1"/>
    <xf numFmtId="0" fontId="1" fillId="0" borderId="13" xfId="0" applyFont="1" applyBorder="1"/>
    <xf numFmtId="2" fontId="1" fillId="4" borderId="18" xfId="0" applyNumberFormat="1" applyFont="1" applyFill="1" applyBorder="1"/>
    <xf numFmtId="0" fontId="1" fillId="0" borderId="14" xfId="0" applyFont="1" applyBorder="1"/>
    <xf numFmtId="0" fontId="1" fillId="0" borderId="2" xfId="0" applyFont="1" applyBorder="1"/>
    <xf numFmtId="0" fontId="0" fillId="0" borderId="21" xfId="0" applyBorder="1"/>
    <xf numFmtId="0" fontId="2" fillId="0" borderId="24" xfId="1" applyBorder="1"/>
    <xf numFmtId="0" fontId="0" fillId="0" borderId="24" xfId="0" applyBorder="1"/>
    <xf numFmtId="2" fontId="0" fillId="3" borderId="24" xfId="0" applyNumberFormat="1" applyFill="1" applyBorder="1"/>
    <xf numFmtId="2" fontId="1" fillId="4" borderId="3" xfId="0" applyNumberFormat="1" applyFont="1" applyFill="1" applyBorder="1"/>
    <xf numFmtId="0" fontId="2" fillId="0" borderId="0" xfId="1" applyBorder="1"/>
    <xf numFmtId="2" fontId="1" fillId="4" borderId="26" xfId="0" applyNumberFormat="1" applyFont="1" applyFill="1" applyBorder="1"/>
    <xf numFmtId="0" fontId="2" fillId="0" borderId="27" xfId="1" applyBorder="1"/>
    <xf numFmtId="0" fontId="2" fillId="0" borderId="28" xfId="1" applyBorder="1"/>
    <xf numFmtId="0" fontId="0" fillId="2" borderId="9" xfId="0" applyFill="1" applyBorder="1"/>
    <xf numFmtId="0" fontId="0" fillId="2" borderId="11" xfId="0" applyFill="1" applyBorder="1"/>
    <xf numFmtId="0" fontId="0" fillId="0" borderId="29" xfId="0" applyBorder="1"/>
    <xf numFmtId="0" fontId="2" fillId="0" borderId="30" xfId="1" applyBorder="1"/>
    <xf numFmtId="0" fontId="0" fillId="2" borderId="29" xfId="0" applyFill="1" applyBorder="1"/>
    <xf numFmtId="0" fontId="0" fillId="2" borderId="31" xfId="0" applyFill="1" applyBorder="1"/>
    <xf numFmtId="0" fontId="0" fillId="3" borderId="31" xfId="0" applyFill="1" applyBorder="1"/>
    <xf numFmtId="2" fontId="0" fillId="3" borderId="32" xfId="0" applyNumberFormat="1" applyFill="1" applyBorder="1"/>
    <xf numFmtId="0" fontId="1" fillId="0" borderId="33" xfId="0" applyFont="1" applyBorder="1" applyAlignment="1">
      <alignment wrapText="1"/>
    </xf>
    <xf numFmtId="0" fontId="1" fillId="0" borderId="34" xfId="0" applyFont="1" applyBorder="1" applyAlignment="1">
      <alignment wrapText="1"/>
    </xf>
    <xf numFmtId="0" fontId="1" fillId="0" borderId="35" xfId="0" applyFont="1" applyBorder="1" applyAlignment="1">
      <alignment wrapText="1"/>
    </xf>
    <xf numFmtId="0" fontId="0" fillId="4" borderId="6" xfId="0" applyFill="1" applyBorder="1"/>
    <xf numFmtId="0" fontId="1" fillId="0" borderId="2" xfId="0" applyFont="1" applyBorder="1" applyAlignment="1">
      <alignment horizontal="center"/>
    </xf>
    <xf numFmtId="0" fontId="1" fillId="0" borderId="21" xfId="0" applyFont="1" applyBorder="1" applyAlignment="1">
      <alignment horizontal="center"/>
    </xf>
    <xf numFmtId="0" fontId="1" fillId="0" borderId="3"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mcmaster.com/products/three-way-valves/threaded-diverting-valves-10/" TargetMode="External"/><Relationship Id="rId2" Type="http://schemas.openxmlformats.org/officeDocument/2006/relationships/hyperlink" Target="https://www.mcmaster.com/4759N14/" TargetMode="External"/><Relationship Id="rId1" Type="http://schemas.openxmlformats.org/officeDocument/2006/relationships/hyperlink" Target="https://www.amazon.com/PUREPLUS-Filter-Housing-Universal-Pre-Filtration/dp/B0CN6MY83H/ref=sr_1_1_sspa?crid=3IT29O6X707HO&amp;dib=eyJ2IjoiMSJ9.AgVg-n57nAmoFRQZ6BGL55Eg1OEJHOVxIMGpyHfavssN964-_Bfrja56wQdGXNHK7uCoNwIJCz6N6O19FLvNmWafKozkQwqPFjsBUliHo37t4J0uPnnkzcH0bSFNnS0yucgCxKIh5QLIJCeiGu7xos1l-ZIGp8Qc1YsJfKFB65qV8eAAIQk0N3AtpuU3TqZSR7WuJ-AtLSLnfU4F6TQVjL1RN4JJpi9cIOkqbwPenUc.4iMbA-5-hLAStOaG145eAFPoKcJ81GiGS9kMQd4wrQo&amp;dib_tag=se&amp;keywords=1%22+clear+water+filter+housing+npt&amp;qid=1722019305&amp;sprefix=1+clear+water+filter+housing+n%2Caps%2C116&amp;sr=8-1-spons&amp;sp_csd=d2lkZ2V0TmFtZT1zcF9hdGY&amp;psc=1" TargetMode="External"/><Relationship Id="rId6" Type="http://schemas.openxmlformats.org/officeDocument/2006/relationships/hyperlink" Target="https://www.blichmannengineering.com/pro-brewing-chiller.html" TargetMode="External"/><Relationship Id="rId5" Type="http://schemas.openxmlformats.org/officeDocument/2006/relationships/hyperlink" Target="https://conical-fermenter.com/Keg-Manifold.html?gad_source=1&amp;gclid=CjwKCAiA0rW6BhAcEiwAQH28Ihg3BJr2ehOeTWKS3Fb97fQ59fsVXRuRrpNo0bbiTCkHDARIG0s4DxoC6QEQAvD_BwE" TargetMode="External"/><Relationship Id="rId4" Type="http://schemas.openxmlformats.org/officeDocument/2006/relationships/hyperlink" Target="https://www.mcmaster.com/4400K65/"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amazon.com/Aquaboon-Replacement-Filtration-Compatible-HF45-10BLBK10PR/dp/B01LY0XWRU/ref=sxin_16_pa_sp_search_thematic_sspa?content-id=amzn1.sym.5439bf72-3da4-45fb-a22b-ecb711485806%3Aamzn1.sym.5439bf72-3da4-45fb-a22b-ecb711485806&amp;crid=19W291NEGWFUS&amp;cv_ct_cx=2+micron+water+filter&amp;dib=eyJ2IjoiMSJ9.HXXGQfBfoGbUWyNOL5wEQBrGPJe34qqfwoRgKAYwRjI3z_TD92ykYlW-GyLqyTvHxC1wFpj_e-qn-fZsHvNUNg.bEGe4tJmbBMmDW6foH-a0nShOzcFBw10_75meA8VSjg&amp;dib_tag=se&amp;keywords=2+micron+water+filter&amp;pd_rd_i=B01LY0XWRU&amp;pd_rd_r=32b5697f-a529-4fd2-9bda-140f0e725b94&amp;pd_rd_w=5KtSq&amp;pd_rd_wg=Aljd6&amp;pf_rd_p=5439bf72-3da4-45fb-a22b-ecb711485806&amp;pf_rd_r=6P6JBJ1T9NN1WDPYQMZH&amp;qid=1722349664&amp;sbo=RZvfv%2F%2FHxDF%2BO5021pAnSA%3D%3D&amp;sprefix=2+micron+water+filt%2Caps%2C113&amp;sr=1-4-364cf978-ce2a-480a-9bb0-bdb96faa0f61-spons&amp;sp_csd=d2lkZ2V0TmFtZT1zcF9zZWFyY2hfdGhlbWF0aWM&amp;psc=1" TargetMode="External"/><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 Id="rId4" Type="http://schemas.openxmlformats.org/officeDocument/2006/relationships/hyperlink" Target="https://www.amazon.com/Aquaboon-Micron-Water-Filter-4-5/dp/B01LZZA5S7/ref=sr_1_5?crid=1E8ZY6XXCABY4&amp;dib=eyJ2IjoiMSJ9._BKjKH2kAG-ULjYabW9-VJDcrkxBV_0zky1OYcCslTfOlqptDXlLNuBHUfcVzZolcpOyAvh1RLIV0zFSnhU9PQLnYf0QL_AwbGQUpQM4R_1Cr7Cq45wmBjWN4H7JY_qrvmKHxVO4F0-2LluxsacsK41tcawLNS8EkgM-Tdfd3mLTIxWxRiluey0Be1GUbMcxbvspxV_6hABcj-DyPZcmIE-gSfbAZmqKLk3jAvkPZAKXfubZ7eqEh4XD66k0x8BPupDrJO4uqKSLYzU936YsmCdZ3LvXh_-knPPeWW4Hvo8.E7i8aPjkAlZvEmS2Z0_EBRbtQD4Pz6iVVaOCoCcaj-k&amp;dib_tag=se&amp;keywords=4.5%22+5+micron+water+filter&amp;qid=1722349567&amp;sprefix=4.5+5+micron+water+filt%2Caps%2C113&amp;sr=8-5"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mazon.com/Aquaboon-Replacement-Filtration-Compatible-HF45-10BLBK10PR/dp/B01LY0XWRU/ref=sxin_16_pa_sp_search_thematic_sspa?content-id=amzn1.sym.5439bf72-3da4-45fb-a22b-ecb711485806%3Aamzn1.sym.5439bf72-3da4-45fb-a22b-ecb711485806&amp;crid=19W291NEGWFUS&amp;cv_ct_cx=2+micron+water+filter&amp;dib=eyJ2IjoiMSJ9.HXXGQfBfoGbUWyNOL5wEQBrGPJe34qqfwoRgKAYwRjI3z_TD92ykYlW-GyLqyTvHxC1wFpj_e-qn-fZsHvNUNg.bEGe4tJmbBMmDW6foH-a0nShOzcFBw10_75meA8VSjg&amp;dib_tag=se&amp;keywords=2+micron+water+filter&amp;pd_rd_i=B01LY0XWRU&amp;pd_rd_r=32b5697f-a529-4fd2-9bda-140f0e725b94&amp;pd_rd_w=5KtSq&amp;pd_rd_wg=Aljd6&amp;pf_rd_p=5439bf72-3da4-45fb-a22b-ecb711485806&amp;pf_rd_r=6P6JBJ1T9NN1WDPYQMZH&amp;qid=1722349664&amp;sbo=RZvfv%2F%2FHxDF%2BO5021pAnSA%3D%3D&amp;sprefix=2+micron+water+filt%2Caps%2C113&amp;sr=1-4-364cf978-ce2a-480a-9bb0-bdb96faa0f61-spons&amp;sp_csd=d2lkZ2V0TmFtZT1zcF9zZWFyY2hfdGhlbWF0aWM&amp;psc=1" TargetMode="External"/><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 Id="rId4" Type="http://schemas.openxmlformats.org/officeDocument/2006/relationships/hyperlink" Target="https://www.amazon.com/Aquaboon-Micron-Water-Filter-4-5/dp/B01LZZA5S7/ref=sr_1_5?crid=1E8ZY6XXCABY4&amp;dib=eyJ2IjoiMSJ9._BKjKH2kAG-ULjYabW9-VJDcrkxBV_0zky1OYcCslTfOlqptDXlLNuBHUfcVzZolcpOyAvh1RLIV0zFSnhU9PQLnYf0QL_AwbGQUpQM4R_1Cr7Cq45wmBjWN4H7JY_qrvmKHxVO4F0-2LluxsacsK41tcawLNS8EkgM-Tdfd3mLTIxWxRiluey0Be1GUbMcxbvspxV_6hABcj-DyPZcmIE-gSfbAZmqKLk3jAvkPZAKXfubZ7eqEh4XD66k0x8BPupDrJO4uqKSLYzU936YsmCdZ3LvXh_-knPPeWW4Hvo8.E7i8aPjkAlZvEmS2Z0_EBRbtQD4Pz6iVVaOCoCcaj-k&amp;dib_tag=se&amp;keywords=4.5%22+5+micron+water+filter&amp;qid=1722349567&amp;sprefix=4.5+5+micron+water+filt%2Caps%2C113&amp;sr=8-5"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amazon.com/Aquaboon-Replacement-Filtration-Compatible-HF45-10BLBK10PR/dp/B01LY0XWRU/ref=sxin_16_pa_sp_search_thematic_sspa?content-id=amzn1.sym.5439bf72-3da4-45fb-a22b-ecb711485806%3Aamzn1.sym.5439bf72-3da4-45fb-a22b-ecb711485806&amp;crid=19W291NEGWFUS&amp;cv_ct_cx=2+micron+water+filter&amp;dib=eyJ2IjoiMSJ9.HXXGQfBfoGbUWyNOL5wEQBrGPJe34qqfwoRgKAYwRjI3z_TD92ykYlW-GyLqyTvHxC1wFpj_e-qn-fZsHvNUNg.bEGe4tJmbBMmDW6foH-a0nShOzcFBw10_75meA8VSjg&amp;dib_tag=se&amp;keywords=2+micron+water+filter&amp;pd_rd_i=B01LY0XWRU&amp;pd_rd_r=32b5697f-a529-4fd2-9bda-140f0e725b94&amp;pd_rd_w=5KtSq&amp;pd_rd_wg=Aljd6&amp;pf_rd_p=5439bf72-3da4-45fb-a22b-ecb711485806&amp;pf_rd_r=6P6JBJ1T9NN1WDPYQMZH&amp;qid=1722349664&amp;sbo=RZvfv%2F%2FHxDF%2BO5021pAnSA%3D%3D&amp;sprefix=2+micron+water+filt%2Caps%2C113&amp;sr=1-4-364cf978-ce2a-480a-9bb0-bdb96faa0f61-spons&amp;sp_csd=d2lkZ2V0TmFtZT1zcF9zZWFyY2hfdGhlbWF0aWM&amp;psc=1" TargetMode="External"/><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 Id="rId4" Type="http://schemas.openxmlformats.org/officeDocument/2006/relationships/hyperlink" Target="https://www.amazon.com/Aquaboon-Micron-Water-Filter-4-5/dp/B01LZZA5S7/ref=sr_1_5?crid=1E8ZY6XXCABY4&amp;dib=eyJ2IjoiMSJ9._BKjKH2kAG-ULjYabW9-VJDcrkxBV_0zky1OYcCslTfOlqptDXlLNuBHUfcVzZolcpOyAvh1RLIV0zFSnhU9PQLnYf0QL_AwbGQUpQM4R_1Cr7Cq45wmBjWN4H7JY_qrvmKHxVO4F0-2LluxsacsK41tcawLNS8EkgM-Tdfd3mLTIxWxRiluey0Be1GUbMcxbvspxV_6hABcj-DyPZcmIE-gSfbAZmqKLk3jAvkPZAKXfubZ7eqEh4XD66k0x8BPupDrJO4uqKSLYzU936YsmCdZ3LvXh_-knPPeWW4Hvo8.E7i8aPjkAlZvEmS2Z0_EBRbtQD4Pz6iVVaOCoCcaj-k&amp;dib_tag=se&amp;keywords=4.5%22+5+micron+water+filter&amp;qid=1722349567&amp;sprefix=4.5+5+micron+water+filt%2Caps%2C113&amp;sr=8-5"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amazon.com/Aquaboon-Replacement-Filtration-Compatible-HF45-10BLBK10PR/dp/B01LY0XWRU/ref=sxin_16_pa_sp_search_thematic_sspa?content-id=amzn1.sym.5439bf72-3da4-45fb-a22b-ecb711485806%3Aamzn1.sym.5439bf72-3da4-45fb-a22b-ecb711485806&amp;crid=19W291NEGWFUS&amp;cv_ct_cx=2+micron+water+filter&amp;dib=eyJ2IjoiMSJ9.HXXGQfBfoGbUWyNOL5wEQBrGPJe34qqfwoRgKAYwRjI3z_TD92ykYlW-GyLqyTvHxC1wFpj_e-qn-fZsHvNUNg.bEGe4tJmbBMmDW6foH-a0nShOzcFBw10_75meA8VSjg&amp;dib_tag=se&amp;keywords=2+micron+water+filter&amp;pd_rd_i=B01LY0XWRU&amp;pd_rd_r=32b5697f-a529-4fd2-9bda-140f0e725b94&amp;pd_rd_w=5KtSq&amp;pd_rd_wg=Aljd6&amp;pf_rd_p=5439bf72-3da4-45fb-a22b-ecb711485806&amp;pf_rd_r=6P6JBJ1T9NN1WDPYQMZH&amp;qid=1722349664&amp;sbo=RZvfv%2F%2FHxDF%2BO5021pAnSA%3D%3D&amp;sprefix=2+micron+water+filt%2Caps%2C113&amp;sr=1-4-364cf978-ce2a-480a-9bb0-bdb96faa0f61-spons&amp;sp_csd=d2lkZ2V0TmFtZT1zcF9zZWFyY2hfdGhlbWF0aWM&amp;psc=1" TargetMode="External"/><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 Id="rId4" Type="http://schemas.openxmlformats.org/officeDocument/2006/relationships/hyperlink" Target="https://www.amazon.com/Aquaboon-Micron-Water-Filter-4-5/dp/B01LZZA5S7/ref=sr_1_5?crid=1E8ZY6XXCABY4&amp;dib=eyJ2IjoiMSJ9._BKjKH2kAG-ULjYabW9-VJDcrkxBV_0zky1OYcCslTfOlqptDXlLNuBHUfcVzZolcpOyAvh1RLIV0zFSnhU9PQLnYf0QL_AwbGQUpQM4R_1Cr7Cq45wmBjWN4H7JY_qrvmKHxVO4F0-2LluxsacsK41tcawLNS8EkgM-Tdfd3mLTIxWxRiluey0Be1GUbMcxbvspxV_6hABcj-DyPZcmIE-gSfbAZmqKLk3jAvkPZAKXfubZ7eqEh4XD66k0x8BPupDrJO4uqKSLYzU936YsmCdZ3LvXh_-knPPeWW4Hvo8.E7i8aPjkAlZvEmS2Z0_EBRbtQD4Pz6iVVaOCoCcaj-k&amp;dib_tag=se&amp;keywords=4.5%22+5+micron+water+filter&amp;qid=1722349567&amp;sprefix=4.5+5+micron+water+filt%2Caps%2C113&amp;sr=8-5"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mcmaster.com/products/three-way-valves/threaded-diverting-valves-10/" TargetMode="External"/><Relationship Id="rId2" Type="http://schemas.openxmlformats.org/officeDocument/2006/relationships/hyperlink" Target="https://www.mcmaster.com/4759N14/" TargetMode="External"/><Relationship Id="rId1" Type="http://schemas.openxmlformats.org/officeDocument/2006/relationships/hyperlink" Target="https://www.amazon.com/PUREPLUS-Filter-Housing-Universal-Pre-Filtration/dp/B0CN6MY83H/ref=sr_1_1_sspa?crid=3IT29O6X707HO&amp;dib=eyJ2IjoiMSJ9.AgVg-n57nAmoFRQZ6BGL55Eg1OEJHOVxIMGpyHfavssN964-_Bfrja56wQdGXNHK7uCoNwIJCz6N6O19FLvNmWafKozkQwqPFjsBUliHo37t4J0uPnnkzcH0bSFNnS0yucgCxKIh5QLIJCeiGu7xos1l-ZIGp8Qc1YsJfKFB65qV8eAAIQk0N3AtpuU3TqZSR7WuJ-AtLSLnfU4F6TQVjL1RN4JJpi9cIOkqbwPenUc.4iMbA-5-hLAStOaG145eAFPoKcJ81GiGS9kMQd4wrQo&amp;dib_tag=se&amp;keywords=1%22+clear+water+filter+housing+npt&amp;qid=1722019305&amp;sprefix=1+clear+water+filter+housing+n%2Caps%2C116&amp;sr=8-1-spons&amp;sp_csd=d2lkZ2V0TmFtZT1zcF9hdGY&amp;psc=1" TargetMode="External"/><Relationship Id="rId6" Type="http://schemas.openxmlformats.org/officeDocument/2006/relationships/hyperlink" Target="https://www.blichmannengineering.com/pro-brewing-chiller.html" TargetMode="External"/><Relationship Id="rId5" Type="http://schemas.openxmlformats.org/officeDocument/2006/relationships/hyperlink" Target="https://conical-fermenter.com/Keg-Manifold.html?gad_source=1&amp;gclid=CjwKCAiA0rW6BhAcEiwAQH28Ihg3BJr2ehOeTWKS3Fb97fQ59fsVXRuRrpNo0bbiTCkHDARIG0s4DxoC6QEQAvD_BwE" TargetMode="External"/><Relationship Id="rId4" Type="http://schemas.openxmlformats.org/officeDocument/2006/relationships/hyperlink" Target="https://www.mcmaster.com/4400K65/"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amazon.com/Aquaboon-Replacement-Filtration-Compatible-HF45-10BLBK10PR/dp/B01LY0XWRU/ref=sxin_16_pa_sp_search_thematic_sspa?content-id=amzn1.sym.5439bf72-3da4-45fb-a22b-ecb711485806%3Aamzn1.sym.5439bf72-3da4-45fb-a22b-ecb711485806&amp;crid=19W291NEGWFUS&amp;cv_ct_cx=2+micron+water+filter&amp;dib=eyJ2IjoiMSJ9.HXXGQfBfoGbUWyNOL5wEQBrGPJe34qqfwoRgKAYwRjI3z_TD92ykYlW-GyLqyTvHxC1wFpj_e-qn-fZsHvNUNg.bEGe4tJmbBMmDW6foH-a0nShOzcFBw10_75meA8VSjg&amp;dib_tag=se&amp;keywords=2+micron+water+filter&amp;pd_rd_i=B01LY0XWRU&amp;pd_rd_r=32b5697f-a529-4fd2-9bda-140f0e725b94&amp;pd_rd_w=5KtSq&amp;pd_rd_wg=Aljd6&amp;pf_rd_p=5439bf72-3da4-45fb-a22b-ecb711485806&amp;pf_rd_r=6P6JBJ1T9NN1WDPYQMZH&amp;qid=1722349664&amp;sbo=RZvfv%2F%2FHxDF%2BO5021pAnSA%3D%3D&amp;sprefix=2+micron+water+filt%2Caps%2C113&amp;sr=1-4-364cf978-ce2a-480a-9bb0-bdb96faa0f61-spons&amp;sp_csd=d2lkZ2V0TmFtZT1zcF9zZWFyY2hfdGhlbWF0aWM&amp;psc=1" TargetMode="External"/><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 Id="rId4" Type="http://schemas.openxmlformats.org/officeDocument/2006/relationships/hyperlink" Target="https://www.amazon.com/Aquaboon-Micron-Water-Filter-4-5/dp/B01LZZA5S7/ref=sr_1_5?crid=1E8ZY6XXCABY4&amp;dib=eyJ2IjoiMSJ9._BKjKH2kAG-ULjYabW9-VJDcrkxBV_0zky1OYcCslTfOlqptDXlLNuBHUfcVzZolcpOyAvh1RLIV0zFSnhU9PQLnYf0QL_AwbGQUpQM4R_1Cr7Cq45wmBjWN4H7JY_qrvmKHxVO4F0-2LluxsacsK41tcawLNS8EkgM-Tdfd3mLTIxWxRiluey0Be1GUbMcxbvspxV_6hABcj-DyPZcmIE-gSfbAZmqKLk3jAvkPZAKXfubZ7eqEh4XD66k0x8BPupDrJO4uqKSLYzU936YsmCdZ3LvXh_-knPPeWW4Hvo8.E7i8aPjkAlZvEmS2Z0_EBRbtQD4Pz6iVVaOCoCcaj-k&amp;dib_tag=se&amp;keywords=4.5%22+5+micron+water+filter&amp;qid=1722349567&amp;sprefix=4.5+5+micron+water+filt%2Caps%2C113&amp;sr=8-5"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mcmaster.com/products/three-way-valves/threaded-diverting-valves-10/" TargetMode="External"/><Relationship Id="rId2" Type="http://schemas.openxmlformats.org/officeDocument/2006/relationships/hyperlink" Target="https://www.mcmaster.com/4759N14/" TargetMode="External"/><Relationship Id="rId1" Type="http://schemas.openxmlformats.org/officeDocument/2006/relationships/hyperlink" Target="https://www.amazon.com/PUREPLUS-Filter-Housing-Universal-Pre-Filtration/dp/B0CN6MY83H/ref=sr_1_1_sspa?crid=3IT29O6X707HO&amp;dib=eyJ2IjoiMSJ9.AgVg-n57nAmoFRQZ6BGL55Eg1OEJHOVxIMGpyHfavssN964-_Bfrja56wQdGXNHK7uCoNwIJCz6N6O19FLvNmWafKozkQwqPFjsBUliHo37t4J0uPnnkzcH0bSFNnS0yucgCxKIh5QLIJCeiGu7xos1l-ZIGp8Qc1YsJfKFB65qV8eAAIQk0N3AtpuU3TqZSR7WuJ-AtLSLnfU4F6TQVjL1RN4JJpi9cIOkqbwPenUc.4iMbA-5-hLAStOaG145eAFPoKcJ81GiGS9kMQd4wrQo&amp;dib_tag=se&amp;keywords=1%22+clear+water+filter+housing+npt&amp;qid=1722019305&amp;sprefix=1+clear+water+filter+housing+n%2Caps%2C116&amp;sr=8-1-spons&amp;sp_csd=d2lkZ2V0TmFtZT1zcF9hdGY&amp;psc=1" TargetMode="External"/><Relationship Id="rId6" Type="http://schemas.openxmlformats.org/officeDocument/2006/relationships/hyperlink" Target="https://www.blichmannengineering.com/pro-brewing-chiller.html" TargetMode="External"/><Relationship Id="rId5" Type="http://schemas.openxmlformats.org/officeDocument/2006/relationships/hyperlink" Target="https://conical-fermenter.com/Keg-Manifold.html?gad_source=1&amp;gclid=CjwKCAiA0rW6BhAcEiwAQH28Ihg3BJr2ehOeTWKS3Fb97fQ59fsVXRuRrpNo0bbiTCkHDARIG0s4DxoC6QEQAvD_BwE" TargetMode="External"/><Relationship Id="rId4" Type="http://schemas.openxmlformats.org/officeDocument/2006/relationships/hyperlink" Target="https://www.mcmaster.com/4400K65/"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amazon.com/Aquaboon-Replacement-Filtration-Compatible-HF45-10BLBK10PR/dp/B01LY0XWRU/ref=sxin_16_pa_sp_search_thematic_sspa?content-id=amzn1.sym.5439bf72-3da4-45fb-a22b-ecb711485806%3Aamzn1.sym.5439bf72-3da4-45fb-a22b-ecb711485806&amp;crid=19W291NEGWFUS&amp;cv_ct_cx=2+micron+water+filter&amp;dib=eyJ2IjoiMSJ9.HXXGQfBfoGbUWyNOL5wEQBrGPJe34qqfwoRgKAYwRjI3z_TD92ykYlW-GyLqyTvHxC1wFpj_e-qn-fZsHvNUNg.bEGe4tJmbBMmDW6foH-a0nShOzcFBw10_75meA8VSjg&amp;dib_tag=se&amp;keywords=2+micron+water+filter&amp;pd_rd_i=B01LY0XWRU&amp;pd_rd_r=32b5697f-a529-4fd2-9bda-140f0e725b94&amp;pd_rd_w=5KtSq&amp;pd_rd_wg=Aljd6&amp;pf_rd_p=5439bf72-3da4-45fb-a22b-ecb711485806&amp;pf_rd_r=6P6JBJ1T9NN1WDPYQMZH&amp;qid=1722349664&amp;sbo=RZvfv%2F%2FHxDF%2BO5021pAnSA%3D%3D&amp;sprefix=2+micron+water+filt%2Caps%2C113&amp;sr=1-4-364cf978-ce2a-480a-9bb0-bdb96faa0f61-spons&amp;sp_csd=d2lkZ2V0TmFtZT1zcF9zZWFyY2hfdGhlbWF0aWM&amp;psc=1" TargetMode="External"/><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 Id="rId4" Type="http://schemas.openxmlformats.org/officeDocument/2006/relationships/hyperlink" Target="https://www.amazon.com/Aquaboon-Micron-Water-Filter-4-5/dp/B01LZZA5S7/ref=sr_1_5?crid=1E8ZY6XXCABY4&amp;dib=eyJ2IjoiMSJ9._BKjKH2kAG-ULjYabW9-VJDcrkxBV_0zky1OYcCslTfOlqptDXlLNuBHUfcVzZolcpOyAvh1RLIV0zFSnhU9PQLnYf0QL_AwbGQUpQM4R_1Cr7Cq45wmBjWN4H7JY_qrvmKHxVO4F0-2LluxsacsK41tcawLNS8EkgM-Tdfd3mLTIxWxRiluey0Be1GUbMcxbvspxV_6hABcj-DyPZcmIE-gSfbAZmqKLk3jAvkPZAKXfubZ7eqEh4XD66k0x8BPupDrJO4uqKSLYzU936YsmCdZ3LvXh_-knPPeWW4Hvo8.E7i8aPjkAlZvEmS2Z0_EBRbtQD4Pz6iVVaOCoCcaj-k&amp;dib_tag=se&amp;keywords=4.5%22+5+micron+water+filter&amp;qid=1722349567&amp;sprefix=4.5+5+micron+water+filt%2Caps%2C113&amp;sr=8-5"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mcmaster.com/products/three-way-valves/threaded-diverting-valves-10/" TargetMode="External"/><Relationship Id="rId2" Type="http://schemas.openxmlformats.org/officeDocument/2006/relationships/hyperlink" Target="https://www.mcmaster.com/4759N14/" TargetMode="External"/><Relationship Id="rId1" Type="http://schemas.openxmlformats.org/officeDocument/2006/relationships/hyperlink" Target="https://www.amazon.com/PUREPLUS-Filter-Housing-Universal-Pre-Filtration/dp/B0CN6MY83H/ref=sr_1_1_sspa?crid=3IT29O6X707HO&amp;dib=eyJ2IjoiMSJ9.AgVg-n57nAmoFRQZ6BGL55Eg1OEJHOVxIMGpyHfavssN964-_Bfrja56wQdGXNHK7uCoNwIJCz6N6O19FLvNmWafKozkQwqPFjsBUliHo37t4J0uPnnkzcH0bSFNnS0yucgCxKIh5QLIJCeiGu7xos1l-ZIGp8Qc1YsJfKFB65qV8eAAIQk0N3AtpuU3TqZSR7WuJ-AtLSLnfU4F6TQVjL1RN4JJpi9cIOkqbwPenUc.4iMbA-5-hLAStOaG145eAFPoKcJ81GiGS9kMQd4wrQo&amp;dib_tag=se&amp;keywords=1%22+clear+water+filter+housing+npt&amp;qid=1722019305&amp;sprefix=1+clear+water+filter+housing+n%2Caps%2C116&amp;sr=8-1-spons&amp;sp_csd=d2lkZ2V0TmFtZT1zcF9hdGY&amp;psc=1" TargetMode="External"/><Relationship Id="rId6" Type="http://schemas.openxmlformats.org/officeDocument/2006/relationships/hyperlink" Target="https://www.blichmannengineering.com/pro-brewing-chiller.html" TargetMode="External"/><Relationship Id="rId5" Type="http://schemas.openxmlformats.org/officeDocument/2006/relationships/hyperlink" Target="https://conical-fermenter.com/Keg-Manifold.html?gad_source=1&amp;gclid=CjwKCAiA0rW6BhAcEiwAQH28Ihg3BJr2ehOeTWKS3Fb97fQ59fsVXRuRrpNo0bbiTCkHDARIG0s4DxoC6QEQAvD_BwE" TargetMode="External"/><Relationship Id="rId4" Type="http://schemas.openxmlformats.org/officeDocument/2006/relationships/hyperlink" Target="https://www.mcmaster.com/4400K65/"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amazon.com/Aquaboon-Replacement-Filtration-Compatible-HF45-10BLBK10PR/dp/B01LY0XWRU/ref=sxin_16_pa_sp_search_thematic_sspa?content-id=amzn1.sym.5439bf72-3da4-45fb-a22b-ecb711485806%3Aamzn1.sym.5439bf72-3da4-45fb-a22b-ecb711485806&amp;crid=19W291NEGWFUS&amp;cv_ct_cx=2+micron+water+filter&amp;dib=eyJ2IjoiMSJ9.HXXGQfBfoGbUWyNOL5wEQBrGPJe34qqfwoRgKAYwRjI3z_TD92ykYlW-GyLqyTvHxC1wFpj_e-qn-fZsHvNUNg.bEGe4tJmbBMmDW6foH-a0nShOzcFBw10_75meA8VSjg&amp;dib_tag=se&amp;keywords=2+micron+water+filter&amp;pd_rd_i=B01LY0XWRU&amp;pd_rd_r=32b5697f-a529-4fd2-9bda-140f0e725b94&amp;pd_rd_w=5KtSq&amp;pd_rd_wg=Aljd6&amp;pf_rd_p=5439bf72-3da4-45fb-a22b-ecb711485806&amp;pf_rd_r=6P6JBJ1T9NN1WDPYQMZH&amp;qid=1722349664&amp;sbo=RZvfv%2F%2FHxDF%2BO5021pAnSA%3D%3D&amp;sprefix=2+micron+water+filt%2Caps%2C113&amp;sr=1-4-364cf978-ce2a-480a-9bb0-bdb96faa0f61-spons&amp;sp_csd=d2lkZ2V0TmFtZT1zcF9zZWFyY2hfdGhlbWF0aWM&amp;psc=1" TargetMode="External"/><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 Id="rId4" Type="http://schemas.openxmlformats.org/officeDocument/2006/relationships/hyperlink" Target="https://www.amazon.com/Aquaboon-Micron-Water-Filter-4-5/dp/B01LZZA5S7/ref=sr_1_5?crid=1E8ZY6XXCABY4&amp;dib=eyJ2IjoiMSJ9._BKjKH2kAG-ULjYabW9-VJDcrkxBV_0zky1OYcCslTfOlqptDXlLNuBHUfcVzZolcpOyAvh1RLIV0zFSnhU9PQLnYf0QL_AwbGQUpQM4R_1Cr7Cq45wmBjWN4H7JY_qrvmKHxVO4F0-2LluxsacsK41tcawLNS8EkgM-Tdfd3mLTIxWxRiluey0Be1GUbMcxbvspxV_6hABcj-DyPZcmIE-gSfbAZmqKLk3jAvkPZAKXfubZ7eqEh4XD66k0x8BPupDrJO4uqKSLYzU936YsmCdZ3LvXh_-knPPeWW4Hvo8.E7i8aPjkAlZvEmS2Z0_EBRbtQD4Pz6iVVaOCoCcaj-k&amp;dib_tag=se&amp;keywords=4.5%22+5+micron+water+filter&amp;qid=1722349567&amp;sprefix=4.5+5+micron+water+filt%2Caps%2C113&amp;sr=8-5"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amazon.com/Aquaboon-Replacement-Filtration-Compatible-HF45-10BLBK10PR/dp/B01LY0XWRU/ref=sxin_16_pa_sp_search_thematic_sspa?content-id=amzn1.sym.5439bf72-3da4-45fb-a22b-ecb711485806%3Aamzn1.sym.5439bf72-3da4-45fb-a22b-ecb711485806&amp;crid=19W291NEGWFUS&amp;cv_ct_cx=2+micron+water+filter&amp;dib=eyJ2IjoiMSJ9.HXXGQfBfoGbUWyNOL5wEQBrGPJe34qqfwoRgKAYwRjI3z_TD92ykYlW-GyLqyTvHxC1wFpj_e-qn-fZsHvNUNg.bEGe4tJmbBMmDW6foH-a0nShOzcFBw10_75meA8VSjg&amp;dib_tag=se&amp;keywords=2+micron+water+filter&amp;pd_rd_i=B01LY0XWRU&amp;pd_rd_r=32b5697f-a529-4fd2-9bda-140f0e725b94&amp;pd_rd_w=5KtSq&amp;pd_rd_wg=Aljd6&amp;pf_rd_p=5439bf72-3da4-45fb-a22b-ecb711485806&amp;pf_rd_r=6P6JBJ1T9NN1WDPYQMZH&amp;qid=1722349664&amp;sbo=RZvfv%2F%2FHxDF%2BO5021pAnSA%3D%3D&amp;sprefix=2+micron+water+filt%2Caps%2C113&amp;sr=1-4-364cf978-ce2a-480a-9bb0-bdb96faa0f61-spons&amp;sp_csd=d2lkZ2V0TmFtZT1zcF9zZWFyY2hfdGhlbWF0aWM&amp;psc=1" TargetMode="External"/><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 Id="rId4" Type="http://schemas.openxmlformats.org/officeDocument/2006/relationships/hyperlink" Target="https://www.amazon.com/Aquaboon-Micron-Water-Filter-4-5/dp/B01LZZA5S7/ref=sr_1_5?crid=1E8ZY6XXCABY4&amp;dib=eyJ2IjoiMSJ9._BKjKH2kAG-ULjYabW9-VJDcrkxBV_0zky1OYcCslTfOlqptDXlLNuBHUfcVzZolcpOyAvh1RLIV0zFSnhU9PQLnYf0QL_AwbGQUpQM4R_1Cr7Cq45wmBjWN4H7JY_qrvmKHxVO4F0-2LluxsacsK41tcawLNS8EkgM-Tdfd3mLTIxWxRiluey0Be1GUbMcxbvspxV_6hABcj-DyPZcmIE-gSfbAZmqKLk3jAvkPZAKXfubZ7eqEh4XD66k0x8BPupDrJO4uqKSLYzU936YsmCdZ3LvXh_-knPPeWW4Hvo8.E7i8aPjkAlZvEmS2Z0_EBRbtQD4Pz6iVVaOCoCcaj-k&amp;dib_tag=se&amp;keywords=4.5%22+5+micron+water+filter&amp;qid=1722349567&amp;sprefix=4.5+5+micron+water+filt%2Caps%2C113&amp;sr=8-5"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amazon.com/Aquaboon-Replacement-Filtration-Compatible-HF45-10BLBK10PR/dp/B01LY0XWRU/ref=sxin_16_pa_sp_search_thematic_sspa?content-id=amzn1.sym.5439bf72-3da4-45fb-a22b-ecb711485806%3Aamzn1.sym.5439bf72-3da4-45fb-a22b-ecb711485806&amp;crid=19W291NEGWFUS&amp;cv_ct_cx=2+micron+water+filter&amp;dib=eyJ2IjoiMSJ9.HXXGQfBfoGbUWyNOL5wEQBrGPJe34qqfwoRgKAYwRjI3z_TD92ykYlW-GyLqyTvHxC1wFpj_e-qn-fZsHvNUNg.bEGe4tJmbBMmDW6foH-a0nShOzcFBw10_75meA8VSjg&amp;dib_tag=se&amp;keywords=2+micron+water+filter&amp;pd_rd_i=B01LY0XWRU&amp;pd_rd_r=32b5697f-a529-4fd2-9bda-140f0e725b94&amp;pd_rd_w=5KtSq&amp;pd_rd_wg=Aljd6&amp;pf_rd_p=5439bf72-3da4-45fb-a22b-ecb711485806&amp;pf_rd_r=6P6JBJ1T9NN1WDPYQMZH&amp;qid=1722349664&amp;sbo=RZvfv%2F%2FHxDF%2BO5021pAnSA%3D%3D&amp;sprefix=2+micron+water+filt%2Caps%2C113&amp;sr=1-4-364cf978-ce2a-480a-9bb0-bdb96faa0f61-spons&amp;sp_csd=d2lkZ2V0TmFtZT1zcF9zZWFyY2hfdGhlbWF0aWM&amp;psc=1" TargetMode="External"/><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 Id="rId4" Type="http://schemas.openxmlformats.org/officeDocument/2006/relationships/hyperlink" Target="https://www.amazon.com/Aquaboon-Micron-Water-Filter-4-5/dp/B01LZZA5S7/ref=sr_1_5?crid=1E8ZY6XXCABY4&amp;dib=eyJ2IjoiMSJ9._BKjKH2kAG-ULjYabW9-VJDcrkxBV_0zky1OYcCslTfOlqptDXlLNuBHUfcVzZolcpOyAvh1RLIV0zFSnhU9PQLnYf0QL_AwbGQUpQM4R_1Cr7Cq45wmBjWN4H7JY_qrvmKHxVO4F0-2LluxsacsK41tcawLNS8EkgM-Tdfd3mLTIxWxRiluey0Be1GUbMcxbvspxV_6hABcj-DyPZcmIE-gSfbAZmqKLk3jAvkPZAKXfubZ7eqEh4XD66k0x8BPupDrJO4uqKSLYzU936YsmCdZ3LvXh_-knPPeWW4Hvo8.E7i8aPjkAlZvEmS2Z0_EBRbtQD4Pz6iVVaOCoCcaj-k&amp;dib_tag=se&amp;keywords=4.5%22+5+micron+water+filter&amp;qid=1722349567&amp;sprefix=4.5+5+micron+water+filt%2Caps%2C113&amp;sr=8-5"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amazon.com/Aquaboon-Replacement-Filtration-Compatible-HF45-10BLBK10PR/dp/B01LY0XWRU/ref=sxin_16_pa_sp_search_thematic_sspa?content-id=amzn1.sym.5439bf72-3da4-45fb-a22b-ecb711485806%3Aamzn1.sym.5439bf72-3da4-45fb-a22b-ecb711485806&amp;crid=19W291NEGWFUS&amp;cv_ct_cx=2+micron+water+filter&amp;dib=eyJ2IjoiMSJ9.HXXGQfBfoGbUWyNOL5wEQBrGPJe34qqfwoRgKAYwRjI3z_TD92ykYlW-GyLqyTvHxC1wFpj_e-qn-fZsHvNUNg.bEGe4tJmbBMmDW6foH-a0nShOzcFBw10_75meA8VSjg&amp;dib_tag=se&amp;keywords=2+micron+water+filter&amp;pd_rd_i=B01LY0XWRU&amp;pd_rd_r=32b5697f-a529-4fd2-9bda-140f0e725b94&amp;pd_rd_w=5KtSq&amp;pd_rd_wg=Aljd6&amp;pf_rd_p=5439bf72-3da4-45fb-a22b-ecb711485806&amp;pf_rd_r=6P6JBJ1T9NN1WDPYQMZH&amp;qid=1722349664&amp;sbo=RZvfv%2F%2FHxDF%2BO5021pAnSA%3D%3D&amp;sprefix=2+micron+water+filt%2Caps%2C113&amp;sr=1-4-364cf978-ce2a-480a-9bb0-bdb96faa0f61-spons&amp;sp_csd=d2lkZ2V0TmFtZT1zcF9zZWFyY2hfdGhlbWF0aWM&amp;psc=1" TargetMode="External"/><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 Id="rId4" Type="http://schemas.openxmlformats.org/officeDocument/2006/relationships/hyperlink" Target="https://www.amazon.com/Aquaboon-Micron-Water-Filter-4-5/dp/B01LZZA5S7/ref=sr_1_5?crid=1E8ZY6XXCABY4&amp;dib=eyJ2IjoiMSJ9._BKjKH2kAG-ULjYabW9-VJDcrkxBV_0zky1OYcCslTfOlqptDXlLNuBHUfcVzZolcpOyAvh1RLIV0zFSnhU9PQLnYf0QL_AwbGQUpQM4R_1Cr7Cq45wmBjWN4H7JY_qrvmKHxVO4F0-2LluxsacsK41tcawLNS8EkgM-Tdfd3mLTIxWxRiluey0Be1GUbMcxbvspxV_6hABcj-DyPZcmIE-gSfbAZmqKLk3jAvkPZAKXfubZ7eqEh4XD66k0x8BPupDrJO4uqKSLYzU936YsmCdZ3LvXh_-knPPeWW4Hvo8.E7i8aPjkAlZvEmS2Z0_EBRbtQD4Pz6iVVaOCoCcaj-k&amp;dib_tag=se&amp;keywords=4.5%22+5+micron+water+filter&amp;qid=1722349567&amp;sprefix=4.5+5+micron+water+filt%2Caps%2C113&amp;sr=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87BFD-35C8-4E11-869F-91CD339F9CD4}">
  <dimension ref="B2:C27"/>
  <sheetViews>
    <sheetView tabSelected="1" workbookViewId="0">
      <selection activeCell="H31" sqref="H31"/>
    </sheetView>
  </sheetViews>
  <sheetFormatPr defaultRowHeight="15" x14ac:dyDescent="0.25"/>
  <cols>
    <col min="2" max="2" width="24.140625" customWidth="1"/>
    <col min="3" max="3" width="11.140625" bestFit="1" customWidth="1"/>
  </cols>
  <sheetData>
    <row r="2" spans="2:3" x14ac:dyDescent="0.25">
      <c r="B2" t="s">
        <v>89</v>
      </c>
    </row>
    <row r="4" spans="2:3" x14ac:dyDescent="0.25">
      <c r="B4" t="s">
        <v>94</v>
      </c>
    </row>
    <row r="6" spans="2:3" x14ac:dyDescent="0.25">
      <c r="B6" t="s">
        <v>79</v>
      </c>
    </row>
    <row r="7" spans="2:3" ht="15.75" thickBot="1" x14ac:dyDescent="0.3"/>
    <row r="8" spans="2:3" ht="15.75" thickBot="1" x14ac:dyDescent="0.3">
      <c r="B8" s="6" t="s">
        <v>0</v>
      </c>
    </row>
    <row r="9" spans="2:3" x14ac:dyDescent="0.25">
      <c r="B9" s="7" t="s">
        <v>1</v>
      </c>
    </row>
    <row r="10" spans="2:3" x14ac:dyDescent="0.25">
      <c r="B10" s="8" t="s">
        <v>2</v>
      </c>
    </row>
    <row r="11" spans="2:3" ht="15.75" thickBot="1" x14ac:dyDescent="0.3">
      <c r="B11" s="9" t="s">
        <v>3</v>
      </c>
    </row>
    <row r="13" spans="2:3" x14ac:dyDescent="0.25">
      <c r="B13" t="s">
        <v>80</v>
      </c>
      <c r="C13" t="s">
        <v>81</v>
      </c>
    </row>
    <row r="14" spans="2:3" x14ac:dyDescent="0.25">
      <c r="B14" t="s">
        <v>90</v>
      </c>
      <c r="C14" t="s">
        <v>91</v>
      </c>
    </row>
    <row r="15" spans="2:3" x14ac:dyDescent="0.25">
      <c r="B15" t="s">
        <v>82</v>
      </c>
      <c r="C15" t="s">
        <v>92</v>
      </c>
    </row>
    <row r="16" spans="2:3" x14ac:dyDescent="0.25">
      <c r="B16" t="s">
        <v>83</v>
      </c>
      <c r="C16" t="s">
        <v>93</v>
      </c>
    </row>
    <row r="17" spans="2:3" x14ac:dyDescent="0.25">
      <c r="B17" t="s">
        <v>84</v>
      </c>
      <c r="C17" t="s">
        <v>95</v>
      </c>
    </row>
    <row r="18" spans="2:3" x14ac:dyDescent="0.25">
      <c r="B18" t="s">
        <v>85</v>
      </c>
      <c r="C18" t="s">
        <v>96</v>
      </c>
    </row>
    <row r="19" spans="2:3" x14ac:dyDescent="0.25">
      <c r="B19" t="s">
        <v>97</v>
      </c>
      <c r="C19" t="s">
        <v>102</v>
      </c>
    </row>
    <row r="20" spans="2:3" x14ac:dyDescent="0.25">
      <c r="B20" t="s">
        <v>86</v>
      </c>
      <c r="C20" t="s">
        <v>99</v>
      </c>
    </row>
    <row r="21" spans="2:3" x14ac:dyDescent="0.25">
      <c r="B21" t="s">
        <v>98</v>
      </c>
      <c r="C21" t="s">
        <v>103</v>
      </c>
    </row>
    <row r="22" spans="2:3" x14ac:dyDescent="0.25">
      <c r="B22" t="s">
        <v>87</v>
      </c>
      <c r="C22" t="s">
        <v>100</v>
      </c>
    </row>
    <row r="23" spans="2:3" x14ac:dyDescent="0.25">
      <c r="B23" t="s">
        <v>98</v>
      </c>
      <c r="C23" t="s">
        <v>104</v>
      </c>
    </row>
    <row r="24" spans="2:3" x14ac:dyDescent="0.25">
      <c r="B24" t="s">
        <v>88</v>
      </c>
      <c r="C24" t="s">
        <v>101</v>
      </c>
    </row>
    <row r="25" spans="2:3" x14ac:dyDescent="0.25">
      <c r="B25" t="s">
        <v>105</v>
      </c>
      <c r="C25" t="s">
        <v>108</v>
      </c>
    </row>
    <row r="26" spans="2:3" x14ac:dyDescent="0.25">
      <c r="B26" t="s">
        <v>106</v>
      </c>
      <c r="C26" t="s">
        <v>109</v>
      </c>
    </row>
    <row r="27" spans="2:3" x14ac:dyDescent="0.25">
      <c r="B27" t="s">
        <v>107</v>
      </c>
      <c r="C27" t="s">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180C-E695-4B31-93C8-C4EC6E9E590D}">
  <dimension ref="A1:N14"/>
  <sheetViews>
    <sheetView workbookViewId="0">
      <selection activeCell="I17" sqref="I17"/>
    </sheetView>
  </sheetViews>
  <sheetFormatPr defaultRowHeight="15" x14ac:dyDescent="0.25"/>
  <cols>
    <col min="1" max="1" width="27.42578125" bestFit="1" customWidth="1"/>
    <col min="2" max="2" width="32.42578125" bestFit="1" customWidth="1"/>
    <col min="3" max="3" width="8" bestFit="1" customWidth="1"/>
    <col min="4" max="4" width="8.42578125" customWidth="1"/>
    <col min="5" max="5" width="14.42578125" bestFit="1" customWidth="1"/>
    <col min="6" max="6" width="13.7109375" bestFit="1" customWidth="1"/>
    <col min="7" max="7" width="14.7109375" customWidth="1"/>
    <col min="8" max="8" width="15.28515625" bestFit="1" customWidth="1"/>
    <col min="9" max="9" width="13.85546875" bestFit="1" customWidth="1"/>
    <col min="14" max="14" width="24.5703125" bestFit="1" customWidth="1"/>
  </cols>
  <sheetData>
    <row r="1" spans="1:14" s="24" customFormat="1" ht="30.75" thickBot="1" x14ac:dyDescent="0.3">
      <c r="A1" s="60" t="s">
        <v>4</v>
      </c>
      <c r="B1" s="61" t="s">
        <v>5</v>
      </c>
      <c r="C1" s="61" t="s">
        <v>6</v>
      </c>
      <c r="D1" s="61" t="s">
        <v>7</v>
      </c>
      <c r="E1" s="61" t="s">
        <v>8</v>
      </c>
      <c r="F1" s="61" t="s">
        <v>9</v>
      </c>
      <c r="G1" s="61" t="s">
        <v>10</v>
      </c>
      <c r="H1" s="61" t="s">
        <v>74</v>
      </c>
      <c r="I1" s="62" t="s">
        <v>11</v>
      </c>
    </row>
    <row r="2" spans="1:14" ht="15.75" thickBot="1" x14ac:dyDescent="0.3">
      <c r="A2" s="54" t="s">
        <v>59</v>
      </c>
      <c r="B2" s="55" t="s">
        <v>60</v>
      </c>
      <c r="C2" s="56">
        <v>343.8</v>
      </c>
      <c r="D2" s="57">
        <v>2</v>
      </c>
      <c r="E2" s="58">
        <f t="shared" ref="E2:E7" si="0">D2*C2</f>
        <v>687.6</v>
      </c>
      <c r="F2" s="57">
        <v>15</v>
      </c>
      <c r="G2" s="58">
        <f t="shared" ref="G2:G7" si="1">SUM(E2:F2)</f>
        <v>702.6</v>
      </c>
      <c r="H2" s="58">
        <f>G2*0.45</f>
        <v>316.17</v>
      </c>
      <c r="I2" s="59">
        <f t="shared" ref="I2:I7" si="2">SUM(H2,G2)</f>
        <v>1018.77</v>
      </c>
      <c r="N2" s="6" t="s">
        <v>0</v>
      </c>
    </row>
    <row r="3" spans="1:14" x14ac:dyDescent="0.25">
      <c r="A3" s="2" t="s">
        <v>61</v>
      </c>
      <c r="B3" s="50" t="s">
        <v>62</v>
      </c>
      <c r="C3" s="52">
        <v>51.99</v>
      </c>
      <c r="D3" s="10">
        <v>4</v>
      </c>
      <c r="E3" s="34">
        <f t="shared" si="0"/>
        <v>207.96</v>
      </c>
      <c r="F3" s="10">
        <v>0</v>
      </c>
      <c r="G3" s="34">
        <f t="shared" si="1"/>
        <v>207.96</v>
      </c>
      <c r="H3" s="34">
        <f t="shared" ref="H3:H7" si="3">G3*0.45</f>
        <v>93.582000000000008</v>
      </c>
      <c r="I3" s="20">
        <f t="shared" si="2"/>
        <v>301.54200000000003</v>
      </c>
      <c r="N3" s="7" t="s">
        <v>1</v>
      </c>
    </row>
    <row r="4" spans="1:14" x14ac:dyDescent="0.25">
      <c r="A4" s="2" t="s">
        <v>63</v>
      </c>
      <c r="B4" s="50" t="s">
        <v>64</v>
      </c>
      <c r="C4" s="52">
        <v>592.99</v>
      </c>
      <c r="D4" s="10">
        <v>1</v>
      </c>
      <c r="E4" s="34">
        <f t="shared" si="0"/>
        <v>592.99</v>
      </c>
      <c r="F4" s="10">
        <v>150</v>
      </c>
      <c r="G4" s="34">
        <f t="shared" si="1"/>
        <v>742.99</v>
      </c>
      <c r="H4" s="34">
        <f t="shared" si="3"/>
        <v>334.34550000000002</v>
      </c>
      <c r="I4" s="20">
        <f t="shared" si="2"/>
        <v>1077.3355000000001</v>
      </c>
      <c r="N4" s="8" t="s">
        <v>2</v>
      </c>
    </row>
    <row r="5" spans="1:14" ht="15.75" thickBot="1" x14ac:dyDescent="0.3">
      <c r="A5" s="2" t="s">
        <v>65</v>
      </c>
      <c r="B5" s="50" t="s">
        <v>66</v>
      </c>
      <c r="C5" s="52">
        <v>60.43</v>
      </c>
      <c r="D5" s="10">
        <v>2</v>
      </c>
      <c r="E5" s="34">
        <f t="shared" si="0"/>
        <v>120.86</v>
      </c>
      <c r="F5" s="10">
        <v>15</v>
      </c>
      <c r="G5" s="34">
        <f t="shared" si="1"/>
        <v>135.86000000000001</v>
      </c>
      <c r="H5" s="34">
        <f t="shared" si="3"/>
        <v>61.137000000000008</v>
      </c>
      <c r="I5" s="20">
        <f t="shared" si="2"/>
        <v>196.99700000000001</v>
      </c>
      <c r="N5" s="9" t="s">
        <v>3</v>
      </c>
    </row>
    <row r="6" spans="1:14" x14ac:dyDescent="0.25">
      <c r="A6" s="2" t="s">
        <v>67</v>
      </c>
      <c r="B6" s="50" t="s">
        <v>68</v>
      </c>
      <c r="C6" s="52">
        <v>482</v>
      </c>
      <c r="D6" s="10">
        <v>1</v>
      </c>
      <c r="E6" s="34">
        <f t="shared" si="0"/>
        <v>482</v>
      </c>
      <c r="F6" s="10">
        <v>150</v>
      </c>
      <c r="G6" s="34">
        <f t="shared" si="1"/>
        <v>632</v>
      </c>
      <c r="H6" s="34">
        <f t="shared" si="3"/>
        <v>284.40000000000003</v>
      </c>
      <c r="I6" s="20">
        <f t="shared" si="2"/>
        <v>916.40000000000009</v>
      </c>
    </row>
    <row r="7" spans="1:14" ht="15.75" thickBot="1" x14ac:dyDescent="0.3">
      <c r="A7" s="4" t="s">
        <v>69</v>
      </c>
      <c r="B7" s="51" t="s">
        <v>70</v>
      </c>
      <c r="C7" s="53">
        <v>148.85</v>
      </c>
      <c r="D7" s="13">
        <v>2</v>
      </c>
      <c r="E7" s="23">
        <f t="shared" si="0"/>
        <v>297.7</v>
      </c>
      <c r="F7" s="13">
        <v>15</v>
      </c>
      <c r="G7" s="23">
        <f t="shared" si="1"/>
        <v>312.7</v>
      </c>
      <c r="H7" s="23">
        <f t="shared" si="3"/>
        <v>140.715</v>
      </c>
      <c r="I7" s="18">
        <f t="shared" si="2"/>
        <v>453.41499999999996</v>
      </c>
    </row>
    <row r="8" spans="1:14" ht="15.75" thickBot="1" x14ac:dyDescent="0.3">
      <c r="A8" s="29" t="s">
        <v>12</v>
      </c>
      <c r="B8" s="30"/>
      <c r="C8" s="30"/>
      <c r="D8" s="30"/>
      <c r="E8" s="31"/>
      <c r="F8" s="31"/>
      <c r="G8" s="31"/>
      <c r="H8" s="30"/>
      <c r="I8" s="49">
        <f>SUM(I2:I7)</f>
        <v>3964.4594999999999</v>
      </c>
    </row>
    <row r="9" spans="1:14" ht="15.75" thickBot="1" x14ac:dyDescent="0.3"/>
    <row r="10" spans="1:14" ht="15.75" thickBot="1" x14ac:dyDescent="0.3">
      <c r="A10" s="64" t="s">
        <v>13</v>
      </c>
      <c r="B10" s="65"/>
      <c r="C10" s="66"/>
    </row>
    <row r="11" spans="1:14" x14ac:dyDescent="0.25">
      <c r="A11" s="14" t="s">
        <v>14</v>
      </c>
      <c r="B11" s="15">
        <f>I8</f>
        <v>3964.4594999999999</v>
      </c>
      <c r="C11" s="19" t="s">
        <v>15</v>
      </c>
    </row>
    <row r="12" spans="1:14" x14ac:dyDescent="0.25">
      <c r="A12" s="2" t="s">
        <v>16</v>
      </c>
      <c r="B12" s="11">
        <f>B11*0.15</f>
        <v>594.66892499999994</v>
      </c>
      <c r="C12" s="3" t="s">
        <v>17</v>
      </c>
      <c r="D12" t="s">
        <v>18</v>
      </c>
    </row>
    <row r="13" spans="1:14" ht="15.75" thickBot="1" x14ac:dyDescent="0.3">
      <c r="A13" s="21" t="s">
        <v>19</v>
      </c>
      <c r="B13" s="36">
        <v>0</v>
      </c>
      <c r="C13" s="37" t="s">
        <v>15</v>
      </c>
      <c r="D13" t="s">
        <v>20</v>
      </c>
    </row>
    <row r="14" spans="1:14" ht="15.75" thickBot="1" x14ac:dyDescent="0.3">
      <c r="A14" s="39" t="s">
        <v>21</v>
      </c>
      <c r="B14" s="40">
        <f>SUM(B11:B13)</f>
        <v>4559.1284249999999</v>
      </c>
      <c r="C14" s="41" t="s">
        <v>15</v>
      </c>
    </row>
  </sheetData>
  <mergeCells count="1">
    <mergeCell ref="A10:C10"/>
  </mergeCells>
  <hyperlinks>
    <hyperlink ref="B3" r:id="rId1" xr:uid="{29E0C842-2EAF-4A32-9279-BC4460FB0F83}"/>
    <hyperlink ref="B5" r:id="rId2" xr:uid="{9191F96A-EFF4-4B66-9D8C-AA7312F868AE}"/>
    <hyperlink ref="B2" r:id="rId3" xr:uid="{5E105E80-A6F3-4D65-8700-4ED5B87D5163}"/>
    <hyperlink ref="B7" r:id="rId4" xr:uid="{518B7B7A-AF3A-4562-A65A-18BBDDE52792}"/>
    <hyperlink ref="B6" r:id="rId5" xr:uid="{1B527FF0-710A-42DB-8B9D-E336967FD076}"/>
    <hyperlink ref="B4" r:id="rId6" xr:uid="{573372E3-73AD-43C3-9402-42F0CB2C2B1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6E797-3571-4E89-9818-CA342C616BA0}">
  <dimension ref="A1:E33"/>
  <sheetViews>
    <sheetView topLeftCell="B3" workbookViewId="0">
      <selection activeCell="C16" sqref="C16"/>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25" t="s">
        <v>22</v>
      </c>
      <c r="B1" t="s">
        <v>23</v>
      </c>
    </row>
    <row r="2" spans="1:5" x14ac:dyDescent="0.25">
      <c r="A2" s="25"/>
      <c r="B2" t="s">
        <v>76</v>
      </c>
    </row>
    <row r="4" spans="1:5" x14ac:dyDescent="0.25">
      <c r="A4" s="38" t="s">
        <v>24</v>
      </c>
      <c r="B4" s="1" t="s">
        <v>6</v>
      </c>
      <c r="C4" s="1" t="s">
        <v>25</v>
      </c>
      <c r="D4" s="1" t="s">
        <v>26</v>
      </c>
      <c r="E4" t="s">
        <v>27</v>
      </c>
    </row>
    <row r="5" spans="1:5" x14ac:dyDescent="0.25">
      <c r="A5" s="32" t="s">
        <v>28</v>
      </c>
      <c r="B5" s="10">
        <v>400</v>
      </c>
      <c r="C5" s="16">
        <f>2.12/(22.7*0.9)</f>
        <v>0.10376896720509056</v>
      </c>
      <c r="D5" s="11">
        <f>B5*C5</f>
        <v>41.507586882036222</v>
      </c>
      <c r="E5" t="s">
        <v>29</v>
      </c>
    </row>
    <row r="6" spans="1:5" x14ac:dyDescent="0.25">
      <c r="A6" s="48"/>
      <c r="C6" s="5"/>
      <c r="D6" s="5"/>
    </row>
    <row r="7" spans="1:5" x14ac:dyDescent="0.25">
      <c r="A7" s="38" t="s">
        <v>55</v>
      </c>
      <c r="B7" s="1" t="s">
        <v>6</v>
      </c>
      <c r="C7" s="1" t="s">
        <v>25</v>
      </c>
      <c r="D7" s="1" t="s">
        <v>26</v>
      </c>
      <c r="E7" t="s">
        <v>27</v>
      </c>
    </row>
    <row r="8" spans="1:5" x14ac:dyDescent="0.25">
      <c r="A8" s="32" t="s">
        <v>56</v>
      </c>
      <c r="B8" s="16">
        <f>131.8/20</f>
        <v>6.5900000000000007</v>
      </c>
      <c r="C8" s="10">
        <f>1/10</f>
        <v>0.1</v>
      </c>
      <c r="D8" s="11">
        <f>B8*C8</f>
        <v>0.65900000000000014</v>
      </c>
      <c r="E8" t="s">
        <v>72</v>
      </c>
    </row>
    <row r="9" spans="1:5" x14ac:dyDescent="0.25">
      <c r="A9" s="32" t="s">
        <v>58</v>
      </c>
      <c r="B9" s="16">
        <f>133.2/20</f>
        <v>6.6599999999999993</v>
      </c>
      <c r="C9" s="10">
        <f>1/10</f>
        <v>0.1</v>
      </c>
      <c r="D9" s="11">
        <f>B9*C9</f>
        <v>0.66599999999999993</v>
      </c>
    </row>
    <row r="10" spans="1:5" x14ac:dyDescent="0.25">
      <c r="A10" s="48"/>
      <c r="C10" s="5"/>
      <c r="D10" s="5"/>
    </row>
    <row r="11" spans="1:5" x14ac:dyDescent="0.25">
      <c r="B11" s="5"/>
      <c r="C11" s="5" t="s">
        <v>30</v>
      </c>
    </row>
    <row r="12" spans="1:5" x14ac:dyDescent="0.25">
      <c r="A12" s="38" t="s">
        <v>31</v>
      </c>
      <c r="B12" s="16">
        <f>0.02*Baseline_CAPEX!B11</f>
        <v>79.289190000000005</v>
      </c>
      <c r="C12" s="10">
        <v>113</v>
      </c>
      <c r="D12" s="11">
        <f>B12/C12</f>
        <v>0.70167424778761067</v>
      </c>
      <c r="E12" t="s">
        <v>32</v>
      </c>
    </row>
    <row r="13" spans="1:5" x14ac:dyDescent="0.25">
      <c r="A13" s="25"/>
    </row>
    <row r="14" spans="1:5" x14ac:dyDescent="0.25">
      <c r="A14" s="38" t="s">
        <v>33</v>
      </c>
      <c r="B14" s="1" t="s">
        <v>6</v>
      </c>
      <c r="C14" s="1" t="s">
        <v>25</v>
      </c>
      <c r="D14" s="1"/>
    </row>
    <row r="15" spans="1:5" ht="15.75" thickBot="1" x14ac:dyDescent="0.3">
      <c r="A15" s="44" t="s">
        <v>34</v>
      </c>
      <c r="B15" s="36">
        <v>0.1149</v>
      </c>
      <c r="C15" s="22">
        <v>3.62</v>
      </c>
      <c r="D15" s="46">
        <f>B15*C15</f>
        <v>0.41593800000000003</v>
      </c>
      <c r="E15" t="s">
        <v>35</v>
      </c>
    </row>
    <row r="16" spans="1:5" x14ac:dyDescent="0.25">
      <c r="A16" s="42" t="s">
        <v>36</v>
      </c>
      <c r="B16" s="43"/>
      <c r="C16" s="43"/>
      <c r="D16" s="47">
        <f>SUM(D5:D15)</f>
        <v>43.950199129823822</v>
      </c>
    </row>
    <row r="17" spans="1:5" ht="15.75" thickBot="1" x14ac:dyDescent="0.3">
      <c r="A17" s="29" t="s">
        <v>37</v>
      </c>
      <c r="B17" s="30"/>
      <c r="C17" s="30"/>
      <c r="D17" s="35">
        <f>D16*113</f>
        <v>4966.3725016700919</v>
      </c>
    </row>
    <row r="19" spans="1:5" x14ac:dyDescent="0.25">
      <c r="A19" s="25" t="s">
        <v>38</v>
      </c>
      <c r="C19" s="5" t="s">
        <v>30</v>
      </c>
    </row>
    <row r="20" spans="1:5" x14ac:dyDescent="0.25">
      <c r="A20" s="1" t="s">
        <v>39</v>
      </c>
      <c r="B20" s="1">
        <v>0</v>
      </c>
      <c r="C20" s="1">
        <v>0</v>
      </c>
      <c r="D20" s="1">
        <v>0</v>
      </c>
      <c r="E20" t="s">
        <v>40</v>
      </c>
    </row>
    <row r="21" spans="1:5" x14ac:dyDescent="0.25">
      <c r="A21" s="1" t="s">
        <v>41</v>
      </c>
      <c r="B21" s="11">
        <f>0.015*Baseline_CAPEX!B11</f>
        <v>59.4668925</v>
      </c>
      <c r="C21" s="10">
        <v>113</v>
      </c>
      <c r="D21" s="11">
        <f>B21/C21</f>
        <v>0.52625568584070792</v>
      </c>
      <c r="E21" t="s">
        <v>42</v>
      </c>
    </row>
    <row r="22" spans="1:5" ht="15.75" thickBot="1" x14ac:dyDescent="0.3">
      <c r="A22" s="45" t="s">
        <v>43</v>
      </c>
      <c r="B22" s="46">
        <f>0.006*Baseline_CAPEX!B11</f>
        <v>23.786757000000001</v>
      </c>
      <c r="C22" s="36">
        <v>113</v>
      </c>
      <c r="D22" s="46">
        <f>B22/C22</f>
        <v>0.21050227433628321</v>
      </c>
      <c r="E22" t="s">
        <v>44</v>
      </c>
    </row>
    <row r="23" spans="1:5" x14ac:dyDescent="0.25">
      <c r="A23" s="42" t="s">
        <v>45</v>
      </c>
      <c r="B23" s="43"/>
      <c r="C23" s="43"/>
      <c r="D23" s="47">
        <f>SUM(D20:D22)</f>
        <v>0.73675796017699113</v>
      </c>
    </row>
    <row r="24" spans="1:5" ht="15.75" thickBot="1" x14ac:dyDescent="0.3">
      <c r="A24" s="29" t="s">
        <v>46</v>
      </c>
      <c r="B24" s="30"/>
      <c r="C24" s="30"/>
      <c r="D24" s="35">
        <f>D23*113</f>
        <v>83.253649499999995</v>
      </c>
    </row>
    <row r="26" spans="1:5" x14ac:dyDescent="0.25">
      <c r="A26" s="1" t="s">
        <v>47</v>
      </c>
      <c r="B26" s="12">
        <f>Baseline_CAPEX!B14</f>
        <v>4559.1284249999999</v>
      </c>
      <c r="C26" s="1" t="s">
        <v>15</v>
      </c>
      <c r="D26" t="s">
        <v>48</v>
      </c>
    </row>
    <row r="27" spans="1:5" x14ac:dyDescent="0.25">
      <c r="A27" s="1" t="s">
        <v>75</v>
      </c>
      <c r="B27" s="1">
        <f>B26/10</f>
        <v>455.91284250000001</v>
      </c>
      <c r="C27" s="1" t="s">
        <v>49</v>
      </c>
      <c r="D27" t="s">
        <v>50</v>
      </c>
    </row>
    <row r="28" spans="1:5" x14ac:dyDescent="0.25">
      <c r="A28" s="1" t="s">
        <v>77</v>
      </c>
      <c r="B28" s="63">
        <f>B27/113</f>
        <v>4.0346269247787614</v>
      </c>
      <c r="C28" s="1" t="s">
        <v>78</v>
      </c>
    </row>
    <row r="29" spans="1:5" x14ac:dyDescent="0.25">
      <c r="A29" s="1" t="s">
        <v>51</v>
      </c>
      <c r="B29" s="12">
        <f>D17+D24</f>
        <v>5049.6261511700923</v>
      </c>
      <c r="C29" s="1" t="s">
        <v>49</v>
      </c>
    </row>
    <row r="31" spans="1:5" x14ac:dyDescent="0.25">
      <c r="A31" s="1" t="s">
        <v>52</v>
      </c>
      <c r="B31" s="17">
        <f>B29/113</f>
        <v>44.686957090000817</v>
      </c>
      <c r="C31" s="1" t="s">
        <v>53</v>
      </c>
    </row>
    <row r="33" spans="4:4" x14ac:dyDescent="0.25">
      <c r="D33" s="5"/>
    </row>
  </sheetData>
  <hyperlinks>
    <hyperlink ref="A5" r:id="rId1" xr:uid="{E0907E40-D650-46AF-BF31-7842111DC79E}"/>
    <hyperlink ref="A15" r:id="rId2" xr:uid="{80A9C0E6-76FA-4AE1-88C7-5AD845ED95AA}"/>
    <hyperlink ref="A9" r:id="rId3" display="1 micron filter " xr:uid="{72DF23B6-973E-459B-9735-A230B3D12C3D}"/>
    <hyperlink ref="A8" r:id="rId4" display="5 micron filter " xr:uid="{8034E38F-316F-4ABC-9B99-9B2C7ADD5FB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0F301-5279-45DE-9F26-74A1A2C8528A}">
  <dimension ref="A1:E31"/>
  <sheetViews>
    <sheetView workbookViewId="0">
      <selection activeCell="B26" sqref="B26"/>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25" t="s">
        <v>22</v>
      </c>
      <c r="B1" t="s">
        <v>23</v>
      </c>
    </row>
    <row r="2" spans="1:5" x14ac:dyDescent="0.25">
      <c r="A2" s="25"/>
      <c r="B2" t="s">
        <v>54</v>
      </c>
    </row>
    <row r="4" spans="1:5" x14ac:dyDescent="0.25">
      <c r="A4" s="38" t="s">
        <v>24</v>
      </c>
      <c r="B4" s="1" t="s">
        <v>6</v>
      </c>
      <c r="C4" s="1" t="s">
        <v>25</v>
      </c>
      <c r="D4" s="1" t="s">
        <v>26</v>
      </c>
      <c r="E4" t="s">
        <v>27</v>
      </c>
    </row>
    <row r="5" spans="1:5" x14ac:dyDescent="0.25">
      <c r="A5" s="32" t="s">
        <v>28</v>
      </c>
      <c r="B5" s="10">
        <v>400</v>
      </c>
      <c r="C5" s="16">
        <f>2.12/(22.7*0.9)</f>
        <v>0.10376896720509056</v>
      </c>
      <c r="D5" s="11">
        <f>B5*C5</f>
        <v>41.507586882036222</v>
      </c>
      <c r="E5" t="s">
        <v>29</v>
      </c>
    </row>
    <row r="6" spans="1:5" x14ac:dyDescent="0.25">
      <c r="A6" s="48"/>
      <c r="C6" s="5"/>
      <c r="D6" s="5"/>
    </row>
    <row r="7" spans="1:5" x14ac:dyDescent="0.25">
      <c r="A7" s="38" t="s">
        <v>55</v>
      </c>
      <c r="B7" s="1" t="s">
        <v>6</v>
      </c>
      <c r="C7" s="1" t="s">
        <v>25</v>
      </c>
      <c r="D7" s="1" t="s">
        <v>26</v>
      </c>
      <c r="E7" t="s">
        <v>27</v>
      </c>
    </row>
    <row r="8" spans="1:5" x14ac:dyDescent="0.25">
      <c r="A8" s="32" t="s">
        <v>56</v>
      </c>
      <c r="B8" s="16">
        <f>131.8/20</f>
        <v>6.5900000000000007</v>
      </c>
      <c r="C8" s="10">
        <f>1/10</f>
        <v>0.1</v>
      </c>
      <c r="D8" s="11">
        <f>B8*C8</f>
        <v>0.65900000000000014</v>
      </c>
      <c r="E8" t="s">
        <v>57</v>
      </c>
    </row>
    <row r="9" spans="1:5" x14ac:dyDescent="0.25">
      <c r="A9" s="32" t="s">
        <v>58</v>
      </c>
      <c r="B9" s="16">
        <f>133.2/20</f>
        <v>6.6599999999999993</v>
      </c>
      <c r="C9" s="10">
        <f>1/10</f>
        <v>0.1</v>
      </c>
      <c r="D9" s="11">
        <f>B9*C9</f>
        <v>0.66599999999999993</v>
      </c>
    </row>
    <row r="10" spans="1:5" x14ac:dyDescent="0.25">
      <c r="A10" s="48"/>
      <c r="C10" s="5"/>
      <c r="D10" s="5"/>
    </row>
    <row r="11" spans="1:5" x14ac:dyDescent="0.25">
      <c r="B11" s="5"/>
      <c r="C11" s="5" t="s">
        <v>30</v>
      </c>
    </row>
    <row r="12" spans="1:5" x14ac:dyDescent="0.25">
      <c r="A12" s="38" t="s">
        <v>31</v>
      </c>
      <c r="B12" s="16">
        <f>0.02*Baseline_CAPEX!B11</f>
        <v>79.289190000000005</v>
      </c>
      <c r="C12" s="10">
        <v>113</v>
      </c>
      <c r="D12" s="11">
        <f>B12/C12</f>
        <v>0.70167424778761067</v>
      </c>
      <c r="E12" t="s">
        <v>32</v>
      </c>
    </row>
    <row r="13" spans="1:5" x14ac:dyDescent="0.25">
      <c r="A13" s="25"/>
    </row>
    <row r="14" spans="1:5" x14ac:dyDescent="0.25">
      <c r="A14" s="38" t="s">
        <v>33</v>
      </c>
      <c r="B14" s="1" t="s">
        <v>6</v>
      </c>
      <c r="C14" s="1" t="s">
        <v>25</v>
      </c>
      <c r="D14" s="1"/>
    </row>
    <row r="15" spans="1:5" ht="15.75" thickBot="1" x14ac:dyDescent="0.3">
      <c r="A15" s="44" t="s">
        <v>34</v>
      </c>
      <c r="B15" s="36">
        <v>0.1149</v>
      </c>
      <c r="C15" s="22">
        <v>2.74</v>
      </c>
      <c r="D15" s="46">
        <f>B15*C15</f>
        <v>0.31482600000000005</v>
      </c>
      <c r="E15" t="s">
        <v>35</v>
      </c>
    </row>
    <row r="16" spans="1:5" x14ac:dyDescent="0.25">
      <c r="A16" s="42" t="s">
        <v>36</v>
      </c>
      <c r="B16" s="43"/>
      <c r="C16" s="43"/>
      <c r="D16" s="47">
        <f>SUM(D5:D15)</f>
        <v>43.849087129823829</v>
      </c>
    </row>
    <row r="17" spans="1:5" ht="15.75" thickBot="1" x14ac:dyDescent="0.3">
      <c r="A17" s="29" t="s">
        <v>37</v>
      </c>
      <c r="B17" s="30"/>
      <c r="C17" s="30"/>
      <c r="D17" s="35">
        <f>D16*113</f>
        <v>4954.9468456700924</v>
      </c>
    </row>
    <row r="19" spans="1:5" x14ac:dyDescent="0.25">
      <c r="A19" s="25" t="s">
        <v>38</v>
      </c>
      <c r="C19" s="5" t="s">
        <v>30</v>
      </c>
    </row>
    <row r="20" spans="1:5" x14ac:dyDescent="0.25">
      <c r="A20" s="1" t="s">
        <v>39</v>
      </c>
      <c r="B20" s="1">
        <v>0</v>
      </c>
      <c r="C20" s="1">
        <v>0</v>
      </c>
      <c r="D20" s="1">
        <v>0</v>
      </c>
      <c r="E20" t="s">
        <v>40</v>
      </c>
    </row>
    <row r="21" spans="1:5" x14ac:dyDescent="0.25">
      <c r="A21" s="1" t="s">
        <v>41</v>
      </c>
      <c r="B21" s="11">
        <f>0.015*Baseline_CAPEX!B11</f>
        <v>59.4668925</v>
      </c>
      <c r="C21" s="10">
        <v>113</v>
      </c>
      <c r="D21" s="11">
        <f>B21/C21</f>
        <v>0.52625568584070792</v>
      </c>
      <c r="E21" t="s">
        <v>42</v>
      </c>
    </row>
    <row r="22" spans="1:5" ht="15.75" thickBot="1" x14ac:dyDescent="0.3">
      <c r="A22" s="45" t="s">
        <v>43</v>
      </c>
      <c r="B22" s="46">
        <f>0.006*Baseline_CAPEX!B11</f>
        <v>23.786757000000001</v>
      </c>
      <c r="C22" s="36">
        <v>113</v>
      </c>
      <c r="D22" s="46">
        <f>B22/C22</f>
        <v>0.21050227433628321</v>
      </c>
      <c r="E22" t="s">
        <v>44</v>
      </c>
    </row>
    <row r="23" spans="1:5" x14ac:dyDescent="0.25">
      <c r="A23" s="42" t="s">
        <v>45</v>
      </c>
      <c r="B23" s="43"/>
      <c r="C23" s="43"/>
      <c r="D23" s="47">
        <f>SUM(D20:D22)</f>
        <v>0.73675796017699113</v>
      </c>
    </row>
    <row r="24" spans="1:5" ht="15.75" thickBot="1" x14ac:dyDescent="0.3">
      <c r="A24" s="29" t="s">
        <v>46</v>
      </c>
      <c r="B24" s="30"/>
      <c r="C24" s="30"/>
      <c r="D24" s="35">
        <f>D23*113</f>
        <v>83.253649499999995</v>
      </c>
    </row>
    <row r="26" spans="1:5" x14ac:dyDescent="0.25">
      <c r="A26" s="1" t="s">
        <v>47</v>
      </c>
      <c r="B26" s="12">
        <f>Baseline_CAPEX!B14</f>
        <v>4559.1284249999999</v>
      </c>
      <c r="C26" s="1" t="s">
        <v>15</v>
      </c>
      <c r="D26" t="s">
        <v>48</v>
      </c>
    </row>
    <row r="27" spans="1:5" x14ac:dyDescent="0.25">
      <c r="A27" s="1" t="s">
        <v>75</v>
      </c>
      <c r="B27" s="1">
        <f>B26/10</f>
        <v>455.91284250000001</v>
      </c>
      <c r="C27" s="1" t="s">
        <v>49</v>
      </c>
      <c r="D27" t="s">
        <v>50</v>
      </c>
    </row>
    <row r="28" spans="1:5" x14ac:dyDescent="0.25">
      <c r="A28" s="1" t="s">
        <v>77</v>
      </c>
      <c r="B28" s="63">
        <f>B27/113</f>
        <v>4.0346269247787614</v>
      </c>
      <c r="C28" s="1" t="s">
        <v>78</v>
      </c>
    </row>
    <row r="29" spans="1:5" x14ac:dyDescent="0.25">
      <c r="A29" s="1" t="s">
        <v>51</v>
      </c>
      <c r="B29" s="12">
        <f>D17+D24</f>
        <v>5038.2004951700928</v>
      </c>
      <c r="C29" s="1" t="s">
        <v>49</v>
      </c>
    </row>
    <row r="31" spans="1:5" x14ac:dyDescent="0.25">
      <c r="A31" s="1" t="s">
        <v>52</v>
      </c>
      <c r="B31" s="17">
        <f>B29/113</f>
        <v>44.585845090000824</v>
      </c>
      <c r="C31" s="1" t="s">
        <v>53</v>
      </c>
    </row>
  </sheetData>
  <hyperlinks>
    <hyperlink ref="A5" r:id="rId1" xr:uid="{8CB68A17-5C69-4D23-9B73-A77948CE5504}"/>
    <hyperlink ref="A15" r:id="rId2" xr:uid="{0F8DDAB1-973B-4BB0-95DC-DE0819178AE6}"/>
    <hyperlink ref="A9" r:id="rId3" display="1 micron filter " xr:uid="{907BB804-49D2-4C0B-9584-582F64851AE1}"/>
    <hyperlink ref="A8" r:id="rId4" display="5 micron filter " xr:uid="{3D8AA0F0-1C96-4F80-BDA6-7E798F434D3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86F3A-AA1C-4238-AC9F-0919E44FB86F}">
  <dimension ref="A1:E31"/>
  <sheetViews>
    <sheetView workbookViewId="0">
      <selection activeCell="C16" sqref="C16"/>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25" t="s">
        <v>22</v>
      </c>
      <c r="B1" t="s">
        <v>23</v>
      </c>
    </row>
    <row r="2" spans="1:5" x14ac:dyDescent="0.25">
      <c r="A2" s="25"/>
      <c r="B2" t="s">
        <v>54</v>
      </c>
    </row>
    <row r="4" spans="1:5" x14ac:dyDescent="0.25">
      <c r="A4" s="38" t="s">
        <v>24</v>
      </c>
      <c r="B4" s="1" t="s">
        <v>6</v>
      </c>
      <c r="C4" s="1" t="s">
        <v>25</v>
      </c>
      <c r="D4" s="1" t="s">
        <v>26</v>
      </c>
      <c r="E4" t="s">
        <v>27</v>
      </c>
    </row>
    <row r="5" spans="1:5" x14ac:dyDescent="0.25">
      <c r="A5" s="32" t="s">
        <v>28</v>
      </c>
      <c r="B5" s="10">
        <v>400</v>
      </c>
      <c r="C5" s="16">
        <f>2.12/(22.7*0.9)</f>
        <v>0.10376896720509056</v>
      </c>
      <c r="D5" s="11">
        <f>B5*C5</f>
        <v>41.507586882036222</v>
      </c>
      <c r="E5" t="s">
        <v>29</v>
      </c>
    </row>
    <row r="6" spans="1:5" x14ac:dyDescent="0.25">
      <c r="A6" s="48"/>
      <c r="C6" s="5"/>
      <c r="D6" s="5"/>
    </row>
    <row r="7" spans="1:5" x14ac:dyDescent="0.25">
      <c r="A7" s="38" t="s">
        <v>55</v>
      </c>
      <c r="B7" s="1" t="s">
        <v>6</v>
      </c>
      <c r="C7" s="1" t="s">
        <v>25</v>
      </c>
      <c r="D7" s="1" t="s">
        <v>26</v>
      </c>
      <c r="E7" t="s">
        <v>27</v>
      </c>
    </row>
    <row r="8" spans="1:5" x14ac:dyDescent="0.25">
      <c r="A8" s="32" t="s">
        <v>56</v>
      </c>
      <c r="B8" s="16">
        <f>131.8/20</f>
        <v>6.5900000000000007</v>
      </c>
      <c r="C8" s="10">
        <f>1/10</f>
        <v>0.1</v>
      </c>
      <c r="D8" s="11">
        <f>B8*C8</f>
        <v>0.65900000000000014</v>
      </c>
      <c r="E8" t="s">
        <v>57</v>
      </c>
    </row>
    <row r="9" spans="1:5" x14ac:dyDescent="0.25">
      <c r="A9" s="32" t="s">
        <v>58</v>
      </c>
      <c r="B9" s="16">
        <f>133.2/20</f>
        <v>6.6599999999999993</v>
      </c>
      <c r="C9" s="10">
        <f>1/10</f>
        <v>0.1</v>
      </c>
      <c r="D9" s="11">
        <f>B9*C9</f>
        <v>0.66599999999999993</v>
      </c>
    </row>
    <row r="10" spans="1:5" x14ac:dyDescent="0.25">
      <c r="A10" s="48"/>
      <c r="C10" s="5"/>
      <c r="D10" s="5"/>
    </row>
    <row r="11" spans="1:5" x14ac:dyDescent="0.25">
      <c r="B11" s="5"/>
      <c r="C11" s="5" t="s">
        <v>30</v>
      </c>
    </row>
    <row r="12" spans="1:5" x14ac:dyDescent="0.25">
      <c r="A12" s="38" t="s">
        <v>31</v>
      </c>
      <c r="B12" s="16">
        <f>0.02*Baseline_CAPEX!B11</f>
        <v>79.289190000000005</v>
      </c>
      <c r="C12" s="10">
        <v>113</v>
      </c>
      <c r="D12" s="11">
        <f>B12/C12</f>
        <v>0.70167424778761067</v>
      </c>
      <c r="E12" t="s">
        <v>32</v>
      </c>
    </row>
    <row r="13" spans="1:5" x14ac:dyDescent="0.25">
      <c r="A13" s="25"/>
    </row>
    <row r="14" spans="1:5" x14ac:dyDescent="0.25">
      <c r="A14" s="38" t="s">
        <v>33</v>
      </c>
      <c r="B14" s="1" t="s">
        <v>6</v>
      </c>
      <c r="C14" s="1" t="s">
        <v>25</v>
      </c>
      <c r="D14" s="1"/>
    </row>
    <row r="15" spans="1:5" ht="15.75" thickBot="1" x14ac:dyDescent="0.3">
      <c r="A15" s="44" t="s">
        <v>34</v>
      </c>
      <c r="B15" s="36">
        <v>0.1149</v>
      </c>
      <c r="C15" s="22">
        <v>1.85</v>
      </c>
      <c r="D15" s="46">
        <f>B15*C15</f>
        <v>0.212565</v>
      </c>
      <c r="E15" t="s">
        <v>35</v>
      </c>
    </row>
    <row r="16" spans="1:5" x14ac:dyDescent="0.25">
      <c r="A16" s="42" t="s">
        <v>36</v>
      </c>
      <c r="B16" s="43"/>
      <c r="C16" s="43"/>
      <c r="D16" s="47">
        <f>SUM(D5:D15)</f>
        <v>43.746826129823823</v>
      </c>
    </row>
    <row r="17" spans="1:5" ht="15.75" thickBot="1" x14ac:dyDescent="0.3">
      <c r="A17" s="29" t="s">
        <v>37</v>
      </c>
      <c r="B17" s="30"/>
      <c r="C17" s="30"/>
      <c r="D17" s="35">
        <f>D16*113</f>
        <v>4943.3913526700917</v>
      </c>
    </row>
    <row r="19" spans="1:5" x14ac:dyDescent="0.25">
      <c r="A19" s="25" t="s">
        <v>38</v>
      </c>
      <c r="C19" s="5" t="s">
        <v>30</v>
      </c>
    </row>
    <row r="20" spans="1:5" x14ac:dyDescent="0.25">
      <c r="A20" s="1" t="s">
        <v>39</v>
      </c>
      <c r="B20" s="1">
        <v>0</v>
      </c>
      <c r="C20" s="1">
        <v>0</v>
      </c>
      <c r="D20" s="1">
        <v>0</v>
      </c>
      <c r="E20" t="s">
        <v>40</v>
      </c>
    </row>
    <row r="21" spans="1:5" x14ac:dyDescent="0.25">
      <c r="A21" s="1" t="s">
        <v>41</v>
      </c>
      <c r="B21" s="11">
        <f>0.015*Baseline_CAPEX!B11</f>
        <v>59.4668925</v>
      </c>
      <c r="C21" s="10">
        <v>113</v>
      </c>
      <c r="D21" s="11">
        <f>B21/C21</f>
        <v>0.52625568584070792</v>
      </c>
      <c r="E21" t="s">
        <v>42</v>
      </c>
    </row>
    <row r="22" spans="1:5" ht="15.75" thickBot="1" x14ac:dyDescent="0.3">
      <c r="A22" s="45" t="s">
        <v>43</v>
      </c>
      <c r="B22" s="46">
        <f>0.006*Baseline_CAPEX!B11</f>
        <v>23.786757000000001</v>
      </c>
      <c r="C22" s="36">
        <v>113</v>
      </c>
      <c r="D22" s="46">
        <f>B22/C22</f>
        <v>0.21050227433628321</v>
      </c>
      <c r="E22" t="s">
        <v>44</v>
      </c>
    </row>
    <row r="23" spans="1:5" x14ac:dyDescent="0.25">
      <c r="A23" s="42" t="s">
        <v>45</v>
      </c>
      <c r="B23" s="43"/>
      <c r="C23" s="43"/>
      <c r="D23" s="47">
        <f>SUM(D20:D22)</f>
        <v>0.73675796017699113</v>
      </c>
    </row>
    <row r="24" spans="1:5" ht="15.75" thickBot="1" x14ac:dyDescent="0.3">
      <c r="A24" s="29" t="s">
        <v>46</v>
      </c>
      <c r="B24" s="30"/>
      <c r="C24" s="30"/>
      <c r="D24" s="35">
        <f>D23*113</f>
        <v>83.253649499999995</v>
      </c>
    </row>
    <row r="26" spans="1:5" x14ac:dyDescent="0.25">
      <c r="A26" s="1" t="s">
        <v>47</v>
      </c>
      <c r="B26" s="12">
        <f>Baseline_CAPEX!B14</f>
        <v>4559.1284249999999</v>
      </c>
      <c r="C26" s="1" t="s">
        <v>15</v>
      </c>
      <c r="D26" t="s">
        <v>48</v>
      </c>
    </row>
    <row r="27" spans="1:5" x14ac:dyDescent="0.25">
      <c r="A27" s="1" t="s">
        <v>75</v>
      </c>
      <c r="B27" s="1">
        <f>B26/10</f>
        <v>455.91284250000001</v>
      </c>
      <c r="C27" s="1" t="s">
        <v>49</v>
      </c>
      <c r="D27" t="s">
        <v>50</v>
      </c>
    </row>
    <row r="28" spans="1:5" x14ac:dyDescent="0.25">
      <c r="A28" s="1" t="s">
        <v>77</v>
      </c>
      <c r="B28" s="63">
        <f>B27/113</f>
        <v>4.0346269247787614</v>
      </c>
      <c r="C28" s="1" t="s">
        <v>78</v>
      </c>
    </row>
    <row r="29" spans="1:5" x14ac:dyDescent="0.25">
      <c r="A29" s="1" t="s">
        <v>51</v>
      </c>
      <c r="B29" s="12">
        <f>D17+D24</f>
        <v>5026.6450021700921</v>
      </c>
      <c r="C29" s="1" t="s">
        <v>49</v>
      </c>
    </row>
    <row r="31" spans="1:5" x14ac:dyDescent="0.25">
      <c r="A31" s="1" t="s">
        <v>52</v>
      </c>
      <c r="B31" s="17">
        <f>B29/113</f>
        <v>44.483584090000818</v>
      </c>
      <c r="C31" s="1" t="s">
        <v>53</v>
      </c>
    </row>
  </sheetData>
  <hyperlinks>
    <hyperlink ref="A5" r:id="rId1" xr:uid="{D6C34802-1595-4233-83FD-89C7C1DBDEF2}"/>
    <hyperlink ref="A15" r:id="rId2" xr:uid="{BEF1456E-0AC5-4CEB-BA1B-FD8BE9BBEA26}"/>
    <hyperlink ref="A9" r:id="rId3" display="1 micron filter " xr:uid="{84FDED93-9843-43CF-9756-B7072ECECAD7}"/>
    <hyperlink ref="A8" r:id="rId4" display="5 micron filter " xr:uid="{2917152D-0EE0-44E1-83F2-8662285AE39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CC77-B26D-473B-9C91-EB8557D2066C}">
  <dimension ref="A1:E31"/>
  <sheetViews>
    <sheetView workbookViewId="0">
      <selection activeCell="C16" sqref="C16"/>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25" t="s">
        <v>22</v>
      </c>
      <c r="B1" t="s">
        <v>23</v>
      </c>
    </row>
    <row r="2" spans="1:5" x14ac:dyDescent="0.25">
      <c r="A2" s="25"/>
      <c r="B2" t="s">
        <v>54</v>
      </c>
    </row>
    <row r="4" spans="1:5" x14ac:dyDescent="0.25">
      <c r="A4" s="38" t="s">
        <v>24</v>
      </c>
      <c r="B4" s="1" t="s">
        <v>6</v>
      </c>
      <c r="C4" s="1" t="s">
        <v>25</v>
      </c>
      <c r="D4" s="1" t="s">
        <v>26</v>
      </c>
      <c r="E4" t="s">
        <v>27</v>
      </c>
    </row>
    <row r="5" spans="1:5" x14ac:dyDescent="0.25">
      <c r="A5" s="32" t="s">
        <v>28</v>
      </c>
      <c r="B5" s="10">
        <v>400</v>
      </c>
      <c r="C5" s="16">
        <f>2.12/(22.7*0.9)</f>
        <v>0.10376896720509056</v>
      </c>
      <c r="D5" s="11">
        <f>B5*C5</f>
        <v>41.507586882036222</v>
      </c>
      <c r="E5" t="s">
        <v>29</v>
      </c>
    </row>
    <row r="6" spans="1:5" x14ac:dyDescent="0.25">
      <c r="A6" s="48"/>
      <c r="C6" s="5"/>
      <c r="D6" s="5"/>
    </row>
    <row r="7" spans="1:5" x14ac:dyDescent="0.25">
      <c r="A7" s="38" t="s">
        <v>55</v>
      </c>
      <c r="B7" s="1" t="s">
        <v>6</v>
      </c>
      <c r="C7" s="1" t="s">
        <v>25</v>
      </c>
      <c r="D7" s="1" t="s">
        <v>26</v>
      </c>
      <c r="E7" t="s">
        <v>27</v>
      </c>
    </row>
    <row r="8" spans="1:5" x14ac:dyDescent="0.25">
      <c r="A8" s="32" t="s">
        <v>56</v>
      </c>
      <c r="B8" s="16">
        <f>131.8/20</f>
        <v>6.5900000000000007</v>
      </c>
      <c r="C8" s="10">
        <f>1/10</f>
        <v>0.1</v>
      </c>
      <c r="D8" s="11">
        <f>B8*C8</f>
        <v>0.65900000000000014</v>
      </c>
      <c r="E8" t="s">
        <v>57</v>
      </c>
    </row>
    <row r="9" spans="1:5" x14ac:dyDescent="0.25">
      <c r="A9" s="32" t="s">
        <v>58</v>
      </c>
      <c r="B9" s="16">
        <f>133.2/20</f>
        <v>6.6599999999999993</v>
      </c>
      <c r="C9" s="10">
        <f>1/10</f>
        <v>0.1</v>
      </c>
      <c r="D9" s="11">
        <f>B9*C9</f>
        <v>0.66599999999999993</v>
      </c>
    </row>
    <row r="10" spans="1:5" x14ac:dyDescent="0.25">
      <c r="A10" s="48"/>
      <c r="C10" s="5"/>
      <c r="D10" s="5"/>
    </row>
    <row r="11" spans="1:5" x14ac:dyDescent="0.25">
      <c r="B11" s="5"/>
      <c r="C11" s="5" t="s">
        <v>30</v>
      </c>
    </row>
    <row r="12" spans="1:5" x14ac:dyDescent="0.25">
      <c r="A12" s="38" t="s">
        <v>31</v>
      </c>
      <c r="B12" s="16">
        <f>0.02*Baseline_CAPEX!B11</f>
        <v>79.289190000000005</v>
      </c>
      <c r="C12" s="10">
        <v>113</v>
      </c>
      <c r="D12" s="11">
        <f>B12/C12</f>
        <v>0.70167424778761067</v>
      </c>
      <c r="E12" t="s">
        <v>32</v>
      </c>
    </row>
    <row r="13" spans="1:5" x14ac:dyDescent="0.25">
      <c r="A13" s="25"/>
    </row>
    <row r="14" spans="1:5" x14ac:dyDescent="0.25">
      <c r="A14" s="38" t="s">
        <v>33</v>
      </c>
      <c r="B14" s="1" t="s">
        <v>6</v>
      </c>
      <c r="C14" s="1" t="s">
        <v>25</v>
      </c>
      <c r="D14" s="1"/>
    </row>
    <row r="15" spans="1:5" ht="15.75" thickBot="1" x14ac:dyDescent="0.3">
      <c r="A15" s="44" t="s">
        <v>34</v>
      </c>
      <c r="B15" s="36">
        <v>0.1149</v>
      </c>
      <c r="C15" s="22">
        <v>0.97</v>
      </c>
      <c r="D15" s="46">
        <f>B15*C15</f>
        <v>0.111453</v>
      </c>
      <c r="E15" t="s">
        <v>35</v>
      </c>
    </row>
    <row r="16" spans="1:5" x14ac:dyDescent="0.25">
      <c r="A16" s="42" t="s">
        <v>36</v>
      </c>
      <c r="B16" s="43"/>
      <c r="C16" s="43"/>
      <c r="D16" s="47">
        <f>SUM(D5:D15)</f>
        <v>43.645714129823823</v>
      </c>
    </row>
    <row r="17" spans="1:5" ht="15.75" thickBot="1" x14ac:dyDescent="0.3">
      <c r="A17" s="29" t="s">
        <v>37</v>
      </c>
      <c r="B17" s="30"/>
      <c r="C17" s="30"/>
      <c r="D17" s="35">
        <f>D16*113</f>
        <v>4931.9656966700923</v>
      </c>
    </row>
    <row r="19" spans="1:5" x14ac:dyDescent="0.25">
      <c r="A19" s="25" t="s">
        <v>38</v>
      </c>
      <c r="C19" s="5" t="s">
        <v>30</v>
      </c>
    </row>
    <row r="20" spans="1:5" x14ac:dyDescent="0.25">
      <c r="A20" s="1" t="s">
        <v>39</v>
      </c>
      <c r="B20" s="1">
        <v>0</v>
      </c>
      <c r="C20" s="1">
        <v>0</v>
      </c>
      <c r="D20" s="1">
        <v>0</v>
      </c>
      <c r="E20" t="s">
        <v>40</v>
      </c>
    </row>
    <row r="21" spans="1:5" x14ac:dyDescent="0.25">
      <c r="A21" s="1" t="s">
        <v>41</v>
      </c>
      <c r="B21" s="11">
        <f>0.015*Baseline_CAPEX!B11</f>
        <v>59.4668925</v>
      </c>
      <c r="C21" s="10">
        <v>113</v>
      </c>
      <c r="D21" s="11">
        <f>B21/C21</f>
        <v>0.52625568584070792</v>
      </c>
      <c r="E21" t="s">
        <v>42</v>
      </c>
    </row>
    <row r="22" spans="1:5" ht="15.75" thickBot="1" x14ac:dyDescent="0.3">
      <c r="A22" s="45" t="s">
        <v>43</v>
      </c>
      <c r="B22" s="46">
        <f>0.006*Baseline_CAPEX!B11</f>
        <v>23.786757000000001</v>
      </c>
      <c r="C22" s="36">
        <v>113</v>
      </c>
      <c r="D22" s="46">
        <f>B22/C22</f>
        <v>0.21050227433628321</v>
      </c>
      <c r="E22" t="s">
        <v>44</v>
      </c>
    </row>
    <row r="23" spans="1:5" x14ac:dyDescent="0.25">
      <c r="A23" s="42" t="s">
        <v>45</v>
      </c>
      <c r="B23" s="43"/>
      <c r="C23" s="43"/>
      <c r="D23" s="47">
        <f>SUM(D20:D22)</f>
        <v>0.73675796017699113</v>
      </c>
    </row>
    <row r="24" spans="1:5" ht="15.75" thickBot="1" x14ac:dyDescent="0.3">
      <c r="A24" s="29" t="s">
        <v>46</v>
      </c>
      <c r="B24" s="30"/>
      <c r="C24" s="30"/>
      <c r="D24" s="35">
        <f>D23*113</f>
        <v>83.253649499999995</v>
      </c>
    </row>
    <row r="26" spans="1:5" x14ac:dyDescent="0.25">
      <c r="A26" s="1" t="s">
        <v>47</v>
      </c>
      <c r="B26" s="12">
        <f>Baseline_CAPEX!B14</f>
        <v>4559.1284249999999</v>
      </c>
      <c r="C26" s="1" t="s">
        <v>15</v>
      </c>
      <c r="D26" t="s">
        <v>48</v>
      </c>
    </row>
    <row r="27" spans="1:5" x14ac:dyDescent="0.25">
      <c r="A27" s="1" t="s">
        <v>75</v>
      </c>
      <c r="B27" s="1">
        <f>B26/10</f>
        <v>455.91284250000001</v>
      </c>
      <c r="C27" s="1" t="s">
        <v>49</v>
      </c>
      <c r="D27" t="s">
        <v>50</v>
      </c>
    </row>
    <row r="28" spans="1:5" x14ac:dyDescent="0.25">
      <c r="A28" s="1" t="s">
        <v>77</v>
      </c>
      <c r="B28" s="63">
        <f>B27/113</f>
        <v>4.0346269247787614</v>
      </c>
      <c r="C28" s="1" t="s">
        <v>78</v>
      </c>
    </row>
    <row r="29" spans="1:5" x14ac:dyDescent="0.25">
      <c r="A29" s="1" t="s">
        <v>51</v>
      </c>
      <c r="B29" s="12">
        <f>D17+D24</f>
        <v>5015.2193461700926</v>
      </c>
      <c r="C29" s="1" t="s">
        <v>49</v>
      </c>
    </row>
    <row r="31" spans="1:5" x14ac:dyDescent="0.25">
      <c r="A31" s="1" t="s">
        <v>52</v>
      </c>
      <c r="B31" s="17">
        <f>B29/113</f>
        <v>44.382472090000817</v>
      </c>
      <c r="C31" s="1" t="s">
        <v>53</v>
      </c>
    </row>
  </sheetData>
  <hyperlinks>
    <hyperlink ref="A5" r:id="rId1" xr:uid="{603CCC87-E1E9-4D20-8731-7A200C247944}"/>
    <hyperlink ref="A15" r:id="rId2" xr:uid="{3D9839BD-9F30-4EC3-AE51-C35BDED0A593}"/>
    <hyperlink ref="A9" r:id="rId3" display="1 micron filter " xr:uid="{F3930B7F-D093-431C-8E36-FFD639ECD277}"/>
    <hyperlink ref="A8" r:id="rId4" display="5 micron filter " xr:uid="{C510A747-8B5D-489A-ACD7-8550680F305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D512F-2FD4-4C39-BDFE-AC0FCE6A7ACB}">
  <dimension ref="A1:N14"/>
  <sheetViews>
    <sheetView workbookViewId="0">
      <selection activeCell="I25" sqref="I25"/>
    </sheetView>
  </sheetViews>
  <sheetFormatPr defaultRowHeight="15" x14ac:dyDescent="0.25"/>
  <cols>
    <col min="1" max="1" width="27.42578125" bestFit="1" customWidth="1"/>
    <col min="2" max="2" width="32.42578125" bestFit="1" customWidth="1"/>
    <col min="3" max="3" width="8" bestFit="1" customWidth="1"/>
    <col min="4" max="4" width="8.42578125" customWidth="1"/>
    <col min="5" max="5" width="14.42578125" bestFit="1" customWidth="1"/>
    <col min="6" max="6" width="13.7109375" bestFit="1" customWidth="1"/>
    <col min="7" max="7" width="14.7109375" customWidth="1"/>
    <col min="8" max="8" width="15.28515625" bestFit="1" customWidth="1"/>
    <col min="9" max="9" width="13.85546875" bestFit="1" customWidth="1"/>
    <col min="14" max="14" width="24.5703125" bestFit="1" customWidth="1"/>
  </cols>
  <sheetData>
    <row r="1" spans="1:14" s="24" customFormat="1" ht="30.75" thickBot="1" x14ac:dyDescent="0.3">
      <c r="A1" s="26" t="s">
        <v>4</v>
      </c>
      <c r="B1" s="27" t="s">
        <v>5</v>
      </c>
      <c r="C1" s="27" t="s">
        <v>6</v>
      </c>
      <c r="D1" s="27" t="s">
        <v>7</v>
      </c>
      <c r="E1" s="27" t="s">
        <v>8</v>
      </c>
      <c r="F1" s="27" t="s">
        <v>9</v>
      </c>
      <c r="G1" s="27" t="s">
        <v>10</v>
      </c>
      <c r="H1" s="27" t="s">
        <v>74</v>
      </c>
      <c r="I1" s="28" t="s">
        <v>11</v>
      </c>
    </row>
    <row r="2" spans="1:14" ht="15.75" thickBot="1" x14ac:dyDescent="0.3">
      <c r="A2" s="2" t="s">
        <v>59</v>
      </c>
      <c r="B2" s="32" t="s">
        <v>60</v>
      </c>
      <c r="C2" s="10">
        <v>343.8</v>
      </c>
      <c r="D2" s="10">
        <v>2</v>
      </c>
      <c r="E2" s="34">
        <f t="shared" ref="E2:E7" si="0">D2*C2</f>
        <v>687.6</v>
      </c>
      <c r="F2" s="10">
        <v>15</v>
      </c>
      <c r="G2" s="34">
        <f t="shared" ref="G2:G7" si="1">SUM(E2:F2)</f>
        <v>702.6</v>
      </c>
      <c r="H2" s="34">
        <f t="shared" ref="H2:H7" si="2">G2*0.45</f>
        <v>316.17</v>
      </c>
      <c r="I2" s="20">
        <f t="shared" ref="I2:I7" si="3">SUM(H2,G2)</f>
        <v>1018.77</v>
      </c>
      <c r="N2" s="6" t="s">
        <v>0</v>
      </c>
    </row>
    <row r="3" spans="1:14" x14ac:dyDescent="0.25">
      <c r="A3" s="2" t="s">
        <v>61</v>
      </c>
      <c r="B3" s="32" t="s">
        <v>62</v>
      </c>
      <c r="C3" s="10">
        <v>51.99</v>
      </c>
      <c r="D3" s="10">
        <v>4</v>
      </c>
      <c r="E3" s="34">
        <f t="shared" si="0"/>
        <v>207.96</v>
      </c>
      <c r="F3" s="10">
        <v>0</v>
      </c>
      <c r="G3" s="34">
        <f t="shared" si="1"/>
        <v>207.96</v>
      </c>
      <c r="H3" s="34">
        <f t="shared" si="2"/>
        <v>93.582000000000008</v>
      </c>
      <c r="I3" s="20">
        <f t="shared" si="3"/>
        <v>301.54200000000003</v>
      </c>
      <c r="N3" s="7" t="s">
        <v>1</v>
      </c>
    </row>
    <row r="4" spans="1:14" x14ac:dyDescent="0.25">
      <c r="A4" s="2" t="s">
        <v>63</v>
      </c>
      <c r="B4" s="32" t="s">
        <v>64</v>
      </c>
      <c r="C4" s="10">
        <v>592.99</v>
      </c>
      <c r="D4" s="10">
        <v>1</v>
      </c>
      <c r="E4" s="34">
        <f t="shared" si="0"/>
        <v>592.99</v>
      </c>
      <c r="F4" s="10">
        <v>150</v>
      </c>
      <c r="G4" s="34">
        <f t="shared" si="1"/>
        <v>742.99</v>
      </c>
      <c r="H4" s="34">
        <f t="shared" si="2"/>
        <v>334.34550000000002</v>
      </c>
      <c r="I4" s="20">
        <f t="shared" si="3"/>
        <v>1077.3355000000001</v>
      </c>
      <c r="N4" s="8" t="s">
        <v>2</v>
      </c>
    </row>
    <row r="5" spans="1:14" ht="15.75" thickBot="1" x14ac:dyDescent="0.3">
      <c r="A5" s="2" t="s">
        <v>65</v>
      </c>
      <c r="B5" s="32" t="s">
        <v>66</v>
      </c>
      <c r="C5" s="10">
        <v>60.43</v>
      </c>
      <c r="D5" s="10">
        <v>2</v>
      </c>
      <c r="E5" s="34">
        <f t="shared" si="0"/>
        <v>120.86</v>
      </c>
      <c r="F5" s="10">
        <v>15</v>
      </c>
      <c r="G5" s="34">
        <f t="shared" si="1"/>
        <v>135.86000000000001</v>
      </c>
      <c r="H5" s="34">
        <f t="shared" si="2"/>
        <v>61.137000000000008</v>
      </c>
      <c r="I5" s="20">
        <f t="shared" si="3"/>
        <v>196.99700000000001</v>
      </c>
      <c r="N5" s="9" t="s">
        <v>3</v>
      </c>
    </row>
    <row r="6" spans="1:14" x14ac:dyDescent="0.25">
      <c r="A6" s="2" t="s">
        <v>67</v>
      </c>
      <c r="B6" s="32" t="s">
        <v>68</v>
      </c>
      <c r="C6" s="10">
        <v>482</v>
      </c>
      <c r="D6" s="10">
        <v>1</v>
      </c>
      <c r="E6" s="34">
        <f t="shared" si="0"/>
        <v>482</v>
      </c>
      <c r="F6" s="10">
        <v>150</v>
      </c>
      <c r="G6" s="34">
        <f t="shared" si="1"/>
        <v>632</v>
      </c>
      <c r="H6" s="34">
        <f t="shared" si="2"/>
        <v>284.40000000000003</v>
      </c>
      <c r="I6" s="20">
        <f t="shared" si="3"/>
        <v>916.40000000000009</v>
      </c>
    </row>
    <row r="7" spans="1:14" ht="15.75" thickBot="1" x14ac:dyDescent="0.3">
      <c r="A7" s="4" t="s">
        <v>69</v>
      </c>
      <c r="B7" s="33" t="s">
        <v>70</v>
      </c>
      <c r="C7" s="13">
        <v>148.85</v>
      </c>
      <c r="D7" s="13">
        <v>2</v>
      </c>
      <c r="E7" s="23">
        <f t="shared" si="0"/>
        <v>297.7</v>
      </c>
      <c r="F7" s="13">
        <v>15</v>
      </c>
      <c r="G7" s="23">
        <f t="shared" si="1"/>
        <v>312.7</v>
      </c>
      <c r="H7" s="23">
        <f t="shared" si="2"/>
        <v>140.715</v>
      </c>
      <c r="I7" s="18">
        <f t="shared" si="3"/>
        <v>453.41499999999996</v>
      </c>
    </row>
    <row r="8" spans="1:14" ht="15.75" thickBot="1" x14ac:dyDescent="0.3">
      <c r="A8" s="29" t="s">
        <v>12</v>
      </c>
      <c r="B8" s="30"/>
      <c r="C8" s="30"/>
      <c r="D8" s="30"/>
      <c r="E8" s="31"/>
      <c r="F8" s="31"/>
      <c r="G8" s="31"/>
      <c r="H8" s="30"/>
      <c r="I8" s="49">
        <f>SUM(I2:I7)</f>
        <v>3964.4594999999999</v>
      </c>
    </row>
    <row r="9" spans="1:14" ht="15.75" thickBot="1" x14ac:dyDescent="0.3"/>
    <row r="10" spans="1:14" ht="15.75" thickBot="1" x14ac:dyDescent="0.3">
      <c r="A10" s="64" t="s">
        <v>13</v>
      </c>
      <c r="B10" s="65"/>
      <c r="C10" s="66"/>
    </row>
    <row r="11" spans="1:14" x14ac:dyDescent="0.25">
      <c r="A11" s="14" t="s">
        <v>14</v>
      </c>
      <c r="B11" s="15">
        <f>I8</f>
        <v>3964.4594999999999</v>
      </c>
      <c r="C11" s="19" t="s">
        <v>15</v>
      </c>
    </row>
    <row r="12" spans="1:14" x14ac:dyDescent="0.25">
      <c r="A12" s="2" t="s">
        <v>16</v>
      </c>
      <c r="B12" s="11">
        <f>B11*0.15</f>
        <v>594.66892499999994</v>
      </c>
      <c r="C12" s="3" t="s">
        <v>17</v>
      </c>
      <c r="D12" t="s">
        <v>18</v>
      </c>
    </row>
    <row r="13" spans="1:14" ht="15.75" thickBot="1" x14ac:dyDescent="0.3">
      <c r="A13" s="21" t="s">
        <v>19</v>
      </c>
      <c r="B13" s="36">
        <v>0</v>
      </c>
      <c r="C13" s="37" t="s">
        <v>15</v>
      </c>
      <c r="D13" t="s">
        <v>20</v>
      </c>
    </row>
    <row r="14" spans="1:14" ht="15.75" thickBot="1" x14ac:dyDescent="0.3">
      <c r="A14" s="39" t="s">
        <v>21</v>
      </c>
      <c r="B14" s="40">
        <f>SUM(B11:B13)</f>
        <v>4559.1284249999999</v>
      </c>
      <c r="C14" s="41" t="s">
        <v>15</v>
      </c>
    </row>
  </sheetData>
  <mergeCells count="1">
    <mergeCell ref="A10:C10"/>
  </mergeCells>
  <hyperlinks>
    <hyperlink ref="B3" r:id="rId1" xr:uid="{98F17E93-DD12-4C6F-9A18-6627C271EE3C}"/>
    <hyperlink ref="B5" r:id="rId2" xr:uid="{C8AA6068-C10D-451E-BD6D-1F989D08FCE5}"/>
    <hyperlink ref="B2" r:id="rId3" xr:uid="{9840C7FD-F0B3-4AA0-AA0A-1311B5C4E32B}"/>
    <hyperlink ref="B7" r:id="rId4" xr:uid="{036C740C-7B58-4FDC-AFBC-199C58B0701D}"/>
    <hyperlink ref="B6" r:id="rId5" xr:uid="{9BDE7FBE-7883-456B-B0A7-11F6F23515B5}"/>
    <hyperlink ref="B4" r:id="rId6" xr:uid="{A9B16C7D-E3A9-448B-8DD9-7003EBD810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EE43-1600-4ED8-B8A1-E4A03944694E}">
  <dimension ref="A1:E31"/>
  <sheetViews>
    <sheetView workbookViewId="0">
      <selection activeCell="C16" sqref="C16"/>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25" t="s">
        <v>22</v>
      </c>
      <c r="B1" t="s">
        <v>23</v>
      </c>
    </row>
    <row r="2" spans="1:5" x14ac:dyDescent="0.25">
      <c r="A2" s="25"/>
      <c r="B2" t="s">
        <v>54</v>
      </c>
    </row>
    <row r="4" spans="1:5" x14ac:dyDescent="0.25">
      <c r="A4" s="38" t="s">
        <v>24</v>
      </c>
      <c r="B4" s="1" t="s">
        <v>6</v>
      </c>
      <c r="C4" s="1" t="s">
        <v>25</v>
      </c>
      <c r="D4" s="1" t="s">
        <v>26</v>
      </c>
      <c r="E4" t="s">
        <v>27</v>
      </c>
    </row>
    <row r="5" spans="1:5" x14ac:dyDescent="0.25">
      <c r="A5" s="32" t="s">
        <v>28</v>
      </c>
      <c r="B5" s="10">
        <v>400</v>
      </c>
      <c r="C5" s="16">
        <f>5.39/(22.7*0.9)</f>
        <v>0.26382770435633873</v>
      </c>
      <c r="D5" s="11">
        <f>B5*C5</f>
        <v>105.53108174253549</v>
      </c>
      <c r="E5" t="s">
        <v>29</v>
      </c>
    </row>
    <row r="6" spans="1:5" x14ac:dyDescent="0.25">
      <c r="A6" s="48"/>
      <c r="C6" s="5"/>
      <c r="D6" s="5"/>
    </row>
    <row r="7" spans="1:5" x14ac:dyDescent="0.25">
      <c r="A7" s="38" t="s">
        <v>55</v>
      </c>
      <c r="B7" s="1" t="s">
        <v>6</v>
      </c>
      <c r="C7" s="1" t="s">
        <v>71</v>
      </c>
      <c r="D7" s="1" t="s">
        <v>26</v>
      </c>
      <c r="E7" t="s">
        <v>27</v>
      </c>
    </row>
    <row r="8" spans="1:5" x14ac:dyDescent="0.25">
      <c r="A8" s="32" t="s">
        <v>56</v>
      </c>
      <c r="B8" s="16">
        <f>131.8/20</f>
        <v>6.5900000000000007</v>
      </c>
      <c r="C8" s="10">
        <f>5/20</f>
        <v>0.25</v>
      </c>
      <c r="D8" s="11">
        <f>B8*C8</f>
        <v>1.6475000000000002</v>
      </c>
      <c r="E8" t="s">
        <v>72</v>
      </c>
    </row>
    <row r="9" spans="1:5" x14ac:dyDescent="0.25">
      <c r="A9" s="32" t="s">
        <v>58</v>
      </c>
      <c r="B9" s="16">
        <f>133.2/20</f>
        <v>6.6599999999999993</v>
      </c>
      <c r="C9" s="10">
        <f>5/20</f>
        <v>0.25</v>
      </c>
      <c r="D9" s="11">
        <f>B9*C9</f>
        <v>1.6649999999999998</v>
      </c>
    </row>
    <row r="10" spans="1:5" x14ac:dyDescent="0.25">
      <c r="A10" s="48"/>
      <c r="C10" s="5"/>
      <c r="D10" s="5"/>
    </row>
    <row r="11" spans="1:5" x14ac:dyDescent="0.25">
      <c r="B11" s="5"/>
      <c r="C11" s="5" t="s">
        <v>30</v>
      </c>
    </row>
    <row r="12" spans="1:5" x14ac:dyDescent="0.25">
      <c r="A12" s="38" t="s">
        <v>31</v>
      </c>
      <c r="B12" s="16">
        <f>0.02*'5Barrel_CAPEX'!B11</f>
        <v>79.289190000000005</v>
      </c>
      <c r="C12" s="10">
        <v>113</v>
      </c>
      <c r="D12" s="11">
        <f>B12/C12</f>
        <v>0.70167424778761067</v>
      </c>
      <c r="E12" t="s">
        <v>32</v>
      </c>
    </row>
    <row r="13" spans="1:5" x14ac:dyDescent="0.25">
      <c r="A13" s="25"/>
    </row>
    <row r="14" spans="1:5" x14ac:dyDescent="0.25">
      <c r="A14" s="38" t="s">
        <v>33</v>
      </c>
      <c r="B14" s="1" t="s">
        <v>6</v>
      </c>
      <c r="C14" s="1" t="s">
        <v>25</v>
      </c>
      <c r="D14" s="1"/>
    </row>
    <row r="15" spans="1:5" ht="15.75" thickBot="1" x14ac:dyDescent="0.3">
      <c r="A15" s="44" t="s">
        <v>34</v>
      </c>
      <c r="B15" s="36">
        <v>0.1149</v>
      </c>
      <c r="C15" s="22">
        <v>9.06</v>
      </c>
      <c r="D15" s="46">
        <f>B15*C15</f>
        <v>1.040994</v>
      </c>
      <c r="E15" t="s">
        <v>35</v>
      </c>
    </row>
    <row r="16" spans="1:5" x14ac:dyDescent="0.25">
      <c r="A16" s="42" t="s">
        <v>36</v>
      </c>
      <c r="B16" s="43"/>
      <c r="C16" s="43"/>
      <c r="D16" s="47">
        <f>SUM(D5:D15)</f>
        <v>110.5862499903231</v>
      </c>
    </row>
    <row r="17" spans="1:5" ht="15.75" thickBot="1" x14ac:dyDescent="0.3">
      <c r="A17" s="29" t="s">
        <v>37</v>
      </c>
      <c r="B17" s="30"/>
      <c r="C17" s="30"/>
      <c r="D17" s="35">
        <f>D16*113</f>
        <v>12496.246248906509</v>
      </c>
    </row>
    <row r="19" spans="1:5" x14ac:dyDescent="0.25">
      <c r="A19" s="25" t="s">
        <v>38</v>
      </c>
      <c r="C19" s="5" t="s">
        <v>30</v>
      </c>
    </row>
    <row r="20" spans="1:5" x14ac:dyDescent="0.25">
      <c r="A20" s="1" t="s">
        <v>39</v>
      </c>
      <c r="B20" s="1">
        <v>0</v>
      </c>
      <c r="C20" s="1">
        <v>0</v>
      </c>
      <c r="D20" s="1">
        <v>0</v>
      </c>
      <c r="E20" t="s">
        <v>40</v>
      </c>
    </row>
    <row r="21" spans="1:5" x14ac:dyDescent="0.25">
      <c r="A21" s="1" t="s">
        <v>41</v>
      </c>
      <c r="B21" s="11">
        <f>0.015*'5Barrel_CAPEX'!B11</f>
        <v>59.4668925</v>
      </c>
      <c r="C21" s="10">
        <v>113</v>
      </c>
      <c r="D21" s="11">
        <f>B21/C21</f>
        <v>0.52625568584070792</v>
      </c>
      <c r="E21" t="s">
        <v>42</v>
      </c>
    </row>
    <row r="22" spans="1:5" ht="15.75" thickBot="1" x14ac:dyDescent="0.3">
      <c r="A22" s="45" t="s">
        <v>43</v>
      </c>
      <c r="B22" s="46">
        <f>0.006*'5Barrel_CAPEX'!B11</f>
        <v>23.786757000000001</v>
      </c>
      <c r="C22" s="36">
        <v>113</v>
      </c>
      <c r="D22" s="46">
        <f>B22/C22</f>
        <v>0.21050227433628321</v>
      </c>
      <c r="E22" t="s">
        <v>44</v>
      </c>
    </row>
    <row r="23" spans="1:5" x14ac:dyDescent="0.25">
      <c r="A23" s="42" t="s">
        <v>45</v>
      </c>
      <c r="B23" s="43"/>
      <c r="C23" s="43"/>
      <c r="D23" s="47">
        <f>SUM(D20:D22)</f>
        <v>0.73675796017699113</v>
      </c>
    </row>
    <row r="24" spans="1:5" ht="15.75" thickBot="1" x14ac:dyDescent="0.3">
      <c r="A24" s="29" t="s">
        <v>46</v>
      </c>
      <c r="B24" s="30"/>
      <c r="C24" s="30"/>
      <c r="D24" s="35">
        <f>D23*113</f>
        <v>83.253649499999995</v>
      </c>
    </row>
    <row r="26" spans="1:5" x14ac:dyDescent="0.25">
      <c r="A26" s="1" t="s">
        <v>47</v>
      </c>
      <c r="B26" s="12">
        <f>'5Barrel_CAPEX'!B14</f>
        <v>4559.1284249999999</v>
      </c>
      <c r="C26" s="1" t="s">
        <v>15</v>
      </c>
      <c r="D26" t="s">
        <v>48</v>
      </c>
    </row>
    <row r="27" spans="1:5" x14ac:dyDescent="0.25">
      <c r="A27" s="1" t="s">
        <v>75</v>
      </c>
      <c r="B27" s="1">
        <f>B26/10</f>
        <v>455.91284250000001</v>
      </c>
      <c r="C27" s="1" t="s">
        <v>49</v>
      </c>
      <c r="D27" t="s">
        <v>50</v>
      </c>
    </row>
    <row r="28" spans="1:5" x14ac:dyDescent="0.25">
      <c r="A28" s="1" t="s">
        <v>77</v>
      </c>
      <c r="B28" s="63">
        <f>B27/113</f>
        <v>4.0346269247787614</v>
      </c>
      <c r="C28" s="1" t="s">
        <v>78</v>
      </c>
    </row>
    <row r="29" spans="1:5" x14ac:dyDescent="0.25">
      <c r="A29" s="1" t="s">
        <v>51</v>
      </c>
      <c r="B29" s="12">
        <f>D17+D24</f>
        <v>12579.49989840651</v>
      </c>
      <c r="C29" s="1" t="s">
        <v>49</v>
      </c>
    </row>
    <row r="31" spans="1:5" x14ac:dyDescent="0.25">
      <c r="A31" s="1" t="s">
        <v>52</v>
      </c>
      <c r="B31" s="17">
        <f>B29/113</f>
        <v>111.32300795050008</v>
      </c>
      <c r="C31" s="1" t="s">
        <v>53</v>
      </c>
    </row>
  </sheetData>
  <hyperlinks>
    <hyperlink ref="A5" r:id="rId1" xr:uid="{E50EB66A-3CFE-4F15-8285-382A98836DC7}"/>
    <hyperlink ref="A15" r:id="rId2" xr:uid="{D884541C-B4C7-4A78-9C97-D6520A29D50C}"/>
    <hyperlink ref="A9" r:id="rId3" display="1 micron filter " xr:uid="{E07F05A2-A031-431C-96CE-8B927ABDDD55}"/>
    <hyperlink ref="A8" r:id="rId4" display="5 micron filter " xr:uid="{52868FFB-45AE-484D-96C3-A0393045396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95A5-28BA-4F14-8591-48C77096374F}">
  <dimension ref="A1:N14"/>
  <sheetViews>
    <sheetView workbookViewId="0">
      <selection activeCell="G21" sqref="G21"/>
    </sheetView>
  </sheetViews>
  <sheetFormatPr defaultRowHeight="15" x14ac:dyDescent="0.25"/>
  <cols>
    <col min="1" max="1" width="27.42578125" bestFit="1" customWidth="1"/>
    <col min="2" max="2" width="32.42578125" bestFit="1" customWidth="1"/>
    <col min="3" max="3" width="8" bestFit="1" customWidth="1"/>
    <col min="4" max="4" width="8.42578125" customWidth="1"/>
    <col min="5" max="5" width="14.42578125" bestFit="1" customWidth="1"/>
    <col min="6" max="6" width="13.7109375" bestFit="1" customWidth="1"/>
    <col min="7" max="7" width="14.7109375" customWidth="1"/>
    <col min="8" max="8" width="15.28515625" bestFit="1" customWidth="1"/>
    <col min="9" max="9" width="13.85546875" bestFit="1" customWidth="1"/>
    <col min="14" max="14" width="24.5703125" bestFit="1" customWidth="1"/>
  </cols>
  <sheetData>
    <row r="1" spans="1:14" s="24" customFormat="1" ht="30.75" thickBot="1" x14ac:dyDescent="0.3">
      <c r="A1" s="26" t="s">
        <v>4</v>
      </c>
      <c r="B1" s="27" t="s">
        <v>5</v>
      </c>
      <c r="C1" s="27" t="s">
        <v>6</v>
      </c>
      <c r="D1" s="27" t="s">
        <v>7</v>
      </c>
      <c r="E1" s="27" t="s">
        <v>8</v>
      </c>
      <c r="F1" s="27" t="s">
        <v>9</v>
      </c>
      <c r="G1" s="27" t="s">
        <v>10</v>
      </c>
      <c r="H1" s="27" t="s">
        <v>74</v>
      </c>
      <c r="I1" s="28" t="s">
        <v>11</v>
      </c>
    </row>
    <row r="2" spans="1:14" ht="15.75" thickBot="1" x14ac:dyDescent="0.3">
      <c r="A2" s="2" t="s">
        <v>59</v>
      </c>
      <c r="B2" s="32" t="s">
        <v>60</v>
      </c>
      <c r="C2" s="10">
        <v>343.8</v>
      </c>
      <c r="D2" s="10">
        <v>2</v>
      </c>
      <c r="E2" s="34">
        <f>D2*C2</f>
        <v>687.6</v>
      </c>
      <c r="F2" s="10">
        <v>15</v>
      </c>
      <c r="G2" s="34">
        <f>SUM(E2:F2)</f>
        <v>702.6</v>
      </c>
      <c r="H2" s="34">
        <f t="shared" ref="H2:H7" si="0">G2*0.45</f>
        <v>316.17</v>
      </c>
      <c r="I2" s="20">
        <f t="shared" ref="I2:I7" si="1">SUM(H2,G2)</f>
        <v>1018.77</v>
      </c>
      <c r="N2" s="6" t="s">
        <v>0</v>
      </c>
    </row>
    <row r="3" spans="1:14" x14ac:dyDescent="0.25">
      <c r="A3" s="2" t="s">
        <v>61</v>
      </c>
      <c r="B3" s="32" t="s">
        <v>62</v>
      </c>
      <c r="C3" s="10">
        <v>51.99</v>
      </c>
      <c r="D3" s="10">
        <v>4</v>
      </c>
      <c r="E3" s="34">
        <f t="shared" ref="E3:E7" si="2">D3*C3</f>
        <v>207.96</v>
      </c>
      <c r="F3" s="10">
        <v>0</v>
      </c>
      <c r="G3" s="34">
        <f t="shared" ref="G3:G7" si="3">SUM(E3:F3)</f>
        <v>207.96</v>
      </c>
      <c r="H3" s="34">
        <f t="shared" si="0"/>
        <v>93.582000000000008</v>
      </c>
      <c r="I3" s="20">
        <f t="shared" si="1"/>
        <v>301.54200000000003</v>
      </c>
      <c r="N3" s="7" t="s">
        <v>1</v>
      </c>
    </row>
    <row r="4" spans="1:14" x14ac:dyDescent="0.25">
      <c r="A4" s="2" t="s">
        <v>63</v>
      </c>
      <c r="B4" s="32" t="s">
        <v>64</v>
      </c>
      <c r="C4" s="10">
        <v>592.99</v>
      </c>
      <c r="D4" s="10">
        <v>1</v>
      </c>
      <c r="E4" s="34">
        <f t="shared" si="2"/>
        <v>592.99</v>
      </c>
      <c r="F4" s="10">
        <v>150</v>
      </c>
      <c r="G4" s="34">
        <f t="shared" si="3"/>
        <v>742.99</v>
      </c>
      <c r="H4" s="34">
        <f t="shared" si="0"/>
        <v>334.34550000000002</v>
      </c>
      <c r="I4" s="20">
        <f t="shared" si="1"/>
        <v>1077.3355000000001</v>
      </c>
      <c r="N4" s="8" t="s">
        <v>2</v>
      </c>
    </row>
    <row r="5" spans="1:14" ht="15.75" thickBot="1" x14ac:dyDescent="0.3">
      <c r="A5" s="2" t="s">
        <v>65</v>
      </c>
      <c r="B5" s="32" t="s">
        <v>66</v>
      </c>
      <c r="C5" s="10">
        <v>60.43</v>
      </c>
      <c r="D5" s="10">
        <v>2</v>
      </c>
      <c r="E5" s="34">
        <f t="shared" si="2"/>
        <v>120.86</v>
      </c>
      <c r="F5" s="10">
        <v>15</v>
      </c>
      <c r="G5" s="34">
        <f t="shared" si="3"/>
        <v>135.86000000000001</v>
      </c>
      <c r="H5" s="34">
        <f t="shared" si="0"/>
        <v>61.137000000000008</v>
      </c>
      <c r="I5" s="20">
        <f t="shared" si="1"/>
        <v>196.99700000000001</v>
      </c>
      <c r="N5" s="9" t="s">
        <v>3</v>
      </c>
    </row>
    <row r="6" spans="1:14" x14ac:dyDescent="0.25">
      <c r="A6" s="2" t="s">
        <v>67</v>
      </c>
      <c r="B6" s="32" t="s">
        <v>68</v>
      </c>
      <c r="C6" s="10">
        <v>482</v>
      </c>
      <c r="D6" s="10">
        <v>1</v>
      </c>
      <c r="E6" s="34">
        <f t="shared" si="2"/>
        <v>482</v>
      </c>
      <c r="F6" s="10">
        <v>150</v>
      </c>
      <c r="G6" s="34">
        <f t="shared" si="3"/>
        <v>632</v>
      </c>
      <c r="H6" s="34">
        <f t="shared" si="0"/>
        <v>284.40000000000003</v>
      </c>
      <c r="I6" s="20">
        <f t="shared" si="1"/>
        <v>916.40000000000009</v>
      </c>
    </row>
    <row r="7" spans="1:14" ht="15.75" thickBot="1" x14ac:dyDescent="0.3">
      <c r="A7" s="4" t="s">
        <v>69</v>
      </c>
      <c r="B7" s="33" t="s">
        <v>70</v>
      </c>
      <c r="C7" s="13">
        <v>148.85</v>
      </c>
      <c r="D7" s="13">
        <v>2</v>
      </c>
      <c r="E7" s="23">
        <f t="shared" si="2"/>
        <v>297.7</v>
      </c>
      <c r="F7" s="13">
        <v>15</v>
      </c>
      <c r="G7" s="23">
        <f t="shared" si="3"/>
        <v>312.7</v>
      </c>
      <c r="H7" s="23">
        <f t="shared" si="0"/>
        <v>140.715</v>
      </c>
      <c r="I7" s="18">
        <f t="shared" si="1"/>
        <v>453.41499999999996</v>
      </c>
    </row>
    <row r="8" spans="1:14" ht="15.75" thickBot="1" x14ac:dyDescent="0.3">
      <c r="A8" s="29" t="s">
        <v>12</v>
      </c>
      <c r="B8" s="30"/>
      <c r="C8" s="30"/>
      <c r="D8" s="30"/>
      <c r="E8" s="31"/>
      <c r="F8" s="31"/>
      <c r="G8" s="31"/>
      <c r="H8" s="30"/>
      <c r="I8" s="49">
        <f>SUM(I2:I7)</f>
        <v>3964.4594999999999</v>
      </c>
    </row>
    <row r="9" spans="1:14" ht="15.75" thickBot="1" x14ac:dyDescent="0.3"/>
    <row r="10" spans="1:14" ht="15.75" thickBot="1" x14ac:dyDescent="0.3">
      <c r="A10" s="64" t="s">
        <v>13</v>
      </c>
      <c r="B10" s="65"/>
      <c r="C10" s="66"/>
    </row>
    <row r="11" spans="1:14" x14ac:dyDescent="0.25">
      <c r="A11" s="14" t="s">
        <v>14</v>
      </c>
      <c r="B11" s="15">
        <f>I8</f>
        <v>3964.4594999999999</v>
      </c>
      <c r="C11" s="19" t="s">
        <v>15</v>
      </c>
    </row>
    <row r="12" spans="1:14" x14ac:dyDescent="0.25">
      <c r="A12" s="2" t="s">
        <v>16</v>
      </c>
      <c r="B12" s="11">
        <f>B11*0.15</f>
        <v>594.66892499999994</v>
      </c>
      <c r="C12" s="3" t="s">
        <v>17</v>
      </c>
      <c r="D12" t="s">
        <v>18</v>
      </c>
    </row>
    <row r="13" spans="1:14" ht="15.75" thickBot="1" x14ac:dyDescent="0.3">
      <c r="A13" s="21" t="s">
        <v>19</v>
      </c>
      <c r="B13" s="36">
        <v>0</v>
      </c>
      <c r="C13" s="37" t="s">
        <v>15</v>
      </c>
      <c r="D13" t="s">
        <v>20</v>
      </c>
    </row>
    <row r="14" spans="1:14" ht="15.75" thickBot="1" x14ac:dyDescent="0.3">
      <c r="A14" s="39" t="s">
        <v>21</v>
      </c>
      <c r="B14" s="40">
        <f>SUM(B11:B13)</f>
        <v>4559.1284249999999</v>
      </c>
      <c r="C14" s="41" t="s">
        <v>15</v>
      </c>
    </row>
  </sheetData>
  <mergeCells count="1">
    <mergeCell ref="A10:C10"/>
  </mergeCells>
  <hyperlinks>
    <hyperlink ref="B3" r:id="rId1" xr:uid="{3366EF0D-250B-4391-9F53-00926E47AEC3}"/>
    <hyperlink ref="B5" r:id="rId2" xr:uid="{26BC0CCD-7A52-4F43-855F-8E83D26EEE36}"/>
    <hyperlink ref="B2" r:id="rId3" xr:uid="{2737741F-DE22-4F9F-A9C2-916848F55C61}"/>
    <hyperlink ref="B7" r:id="rId4" xr:uid="{A506CA66-12E0-4891-ADA1-5266E06A4938}"/>
    <hyperlink ref="B6" r:id="rId5" xr:uid="{C61A35C7-A16B-406D-B3D7-37020BD6A633}"/>
    <hyperlink ref="B4" r:id="rId6" xr:uid="{7797E1BF-EFC6-4DB2-A591-D9DBA4829FE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A590A-CB68-4784-A3F4-B70DC05B6737}">
  <dimension ref="A1:E31"/>
  <sheetViews>
    <sheetView workbookViewId="0">
      <selection activeCell="C16" sqref="C16"/>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25" t="s">
        <v>22</v>
      </c>
      <c r="B1" t="s">
        <v>23</v>
      </c>
    </row>
    <row r="2" spans="1:5" x14ac:dyDescent="0.25">
      <c r="A2" s="25"/>
      <c r="B2" t="s">
        <v>54</v>
      </c>
    </row>
    <row r="4" spans="1:5" x14ac:dyDescent="0.25">
      <c r="A4" s="38" t="s">
        <v>24</v>
      </c>
      <c r="B4" s="1" t="s">
        <v>6</v>
      </c>
      <c r="C4" s="1" t="s">
        <v>25</v>
      </c>
      <c r="D4" s="1" t="s">
        <v>26</v>
      </c>
      <c r="E4" t="s">
        <v>27</v>
      </c>
    </row>
    <row r="5" spans="1:5" x14ac:dyDescent="0.25">
      <c r="A5" s="32" t="s">
        <v>28</v>
      </c>
      <c r="B5" s="10">
        <v>400</v>
      </c>
      <c r="C5" s="16">
        <f>10.6/(22.7*0.9)</f>
        <v>0.51884483602545273</v>
      </c>
      <c r="D5" s="11">
        <f>B5*C5</f>
        <v>207.53793441018109</v>
      </c>
      <c r="E5" t="s">
        <v>29</v>
      </c>
    </row>
    <row r="6" spans="1:5" x14ac:dyDescent="0.25">
      <c r="A6" s="48"/>
      <c r="C6" s="5"/>
      <c r="D6" s="5"/>
    </row>
    <row r="7" spans="1:5" x14ac:dyDescent="0.25">
      <c r="A7" s="38" t="s">
        <v>55</v>
      </c>
      <c r="B7" s="1" t="s">
        <v>6</v>
      </c>
      <c r="C7" s="1" t="s">
        <v>73</v>
      </c>
      <c r="D7" s="1" t="s">
        <v>26</v>
      </c>
      <c r="E7" t="s">
        <v>27</v>
      </c>
    </row>
    <row r="8" spans="1:5" x14ac:dyDescent="0.25">
      <c r="A8" s="32" t="s">
        <v>56</v>
      </c>
      <c r="B8" s="16">
        <f>131.8/20</f>
        <v>6.5900000000000007</v>
      </c>
      <c r="C8" s="10">
        <f>10/20</f>
        <v>0.5</v>
      </c>
      <c r="D8" s="11">
        <f>B8*C8</f>
        <v>3.2950000000000004</v>
      </c>
      <c r="E8" t="s">
        <v>72</v>
      </c>
    </row>
    <row r="9" spans="1:5" x14ac:dyDescent="0.25">
      <c r="A9" s="32" t="s">
        <v>58</v>
      </c>
      <c r="B9" s="16">
        <f>133.2/20</f>
        <v>6.6599999999999993</v>
      </c>
      <c r="C9" s="10">
        <f>10/20</f>
        <v>0.5</v>
      </c>
      <c r="D9" s="11">
        <f>B9*C9</f>
        <v>3.3299999999999996</v>
      </c>
    </row>
    <row r="10" spans="1:5" x14ac:dyDescent="0.25">
      <c r="A10" s="48"/>
      <c r="C10" s="5"/>
      <c r="D10" s="5"/>
    </row>
    <row r="11" spans="1:5" x14ac:dyDescent="0.25">
      <c r="B11" s="5"/>
      <c r="C11" s="5" t="s">
        <v>30</v>
      </c>
    </row>
    <row r="12" spans="1:5" x14ac:dyDescent="0.25">
      <c r="A12" s="38" t="s">
        <v>31</v>
      </c>
      <c r="B12" s="16">
        <f>0.02*'10Barrel_CAPEX'!B11</f>
        <v>79.289190000000005</v>
      </c>
      <c r="C12" s="10">
        <v>113</v>
      </c>
      <c r="D12" s="11">
        <f>B12/C12</f>
        <v>0.70167424778761067</v>
      </c>
      <c r="E12" t="s">
        <v>32</v>
      </c>
    </row>
    <row r="13" spans="1:5" x14ac:dyDescent="0.25">
      <c r="A13" s="25"/>
    </row>
    <row r="14" spans="1:5" x14ac:dyDescent="0.25">
      <c r="A14" s="38" t="s">
        <v>33</v>
      </c>
      <c r="B14" s="1" t="s">
        <v>6</v>
      </c>
      <c r="C14" s="1" t="s">
        <v>25</v>
      </c>
      <c r="D14" s="1"/>
    </row>
    <row r="15" spans="1:5" ht="15.75" thickBot="1" x14ac:dyDescent="0.3">
      <c r="A15" s="44" t="s">
        <v>34</v>
      </c>
      <c r="B15" s="36">
        <v>0.1149</v>
      </c>
      <c r="C15" s="22">
        <v>18.100000000000001</v>
      </c>
      <c r="D15" s="46">
        <f>B15*C15</f>
        <v>2.0796900000000003</v>
      </c>
      <c r="E15" t="s">
        <v>35</v>
      </c>
    </row>
    <row r="16" spans="1:5" x14ac:dyDescent="0.25">
      <c r="A16" s="42" t="s">
        <v>36</v>
      </c>
      <c r="B16" s="43"/>
      <c r="C16" s="43"/>
      <c r="D16" s="47">
        <f>SUM(D5:D15)</f>
        <v>216.94429865796872</v>
      </c>
    </row>
    <row r="17" spans="1:5" ht="15.75" thickBot="1" x14ac:dyDescent="0.3">
      <c r="A17" s="29" t="s">
        <v>37</v>
      </c>
      <c r="B17" s="30"/>
      <c r="C17" s="30"/>
      <c r="D17" s="35">
        <f>D16*113</f>
        <v>24514.705748350465</v>
      </c>
    </row>
    <row r="19" spans="1:5" x14ac:dyDescent="0.25">
      <c r="A19" s="25" t="s">
        <v>38</v>
      </c>
      <c r="C19" s="5" t="s">
        <v>30</v>
      </c>
    </row>
    <row r="20" spans="1:5" x14ac:dyDescent="0.25">
      <c r="A20" s="1" t="s">
        <v>39</v>
      </c>
      <c r="B20" s="1">
        <v>0</v>
      </c>
      <c r="C20" s="1">
        <v>0</v>
      </c>
      <c r="D20" s="1">
        <v>0</v>
      </c>
      <c r="E20" t="s">
        <v>40</v>
      </c>
    </row>
    <row r="21" spans="1:5" x14ac:dyDescent="0.25">
      <c r="A21" s="1" t="s">
        <v>41</v>
      </c>
      <c r="B21" s="11">
        <f>0.015*'10Barrel_CAPEX'!B11</f>
        <v>59.4668925</v>
      </c>
      <c r="C21" s="10">
        <v>113</v>
      </c>
      <c r="D21" s="11">
        <f>B21/C21</f>
        <v>0.52625568584070792</v>
      </c>
      <c r="E21" t="s">
        <v>42</v>
      </c>
    </row>
    <row r="22" spans="1:5" ht="15.75" thickBot="1" x14ac:dyDescent="0.3">
      <c r="A22" s="45" t="s">
        <v>43</v>
      </c>
      <c r="B22" s="46">
        <f>0.006*'10Barrel_CAPEX'!B11</f>
        <v>23.786757000000001</v>
      </c>
      <c r="C22" s="36">
        <v>113</v>
      </c>
      <c r="D22" s="46">
        <f>B22/C22</f>
        <v>0.21050227433628321</v>
      </c>
      <c r="E22" t="s">
        <v>44</v>
      </c>
    </row>
    <row r="23" spans="1:5" x14ac:dyDescent="0.25">
      <c r="A23" s="42" t="s">
        <v>45</v>
      </c>
      <c r="B23" s="43"/>
      <c r="C23" s="43"/>
      <c r="D23" s="47">
        <f>SUM(D20:D22)</f>
        <v>0.73675796017699113</v>
      </c>
    </row>
    <row r="24" spans="1:5" ht="15.75" thickBot="1" x14ac:dyDescent="0.3">
      <c r="A24" s="29" t="s">
        <v>46</v>
      </c>
      <c r="B24" s="30"/>
      <c r="C24" s="30"/>
      <c r="D24" s="35">
        <f>D23*113</f>
        <v>83.253649499999995</v>
      </c>
    </row>
    <row r="26" spans="1:5" x14ac:dyDescent="0.25">
      <c r="A26" s="1" t="s">
        <v>47</v>
      </c>
      <c r="B26" s="12">
        <f>'10Barrel_CAPEX'!B14</f>
        <v>4559.1284249999999</v>
      </c>
      <c r="C26" s="1" t="s">
        <v>15</v>
      </c>
      <c r="D26" t="s">
        <v>48</v>
      </c>
    </row>
    <row r="27" spans="1:5" x14ac:dyDescent="0.25">
      <c r="A27" s="1" t="s">
        <v>75</v>
      </c>
      <c r="B27" s="1">
        <f>B26/10</f>
        <v>455.91284250000001</v>
      </c>
      <c r="C27" s="1" t="s">
        <v>49</v>
      </c>
      <c r="D27" t="s">
        <v>50</v>
      </c>
    </row>
    <row r="28" spans="1:5" x14ac:dyDescent="0.25">
      <c r="A28" s="1" t="s">
        <v>77</v>
      </c>
      <c r="B28" s="63">
        <f>B27/113</f>
        <v>4.0346269247787614</v>
      </c>
      <c r="C28" s="1" t="s">
        <v>78</v>
      </c>
    </row>
    <row r="29" spans="1:5" x14ac:dyDescent="0.25">
      <c r="A29" s="1" t="s">
        <v>51</v>
      </c>
      <c r="B29" s="12">
        <f>D17+D24</f>
        <v>24597.959397850464</v>
      </c>
      <c r="C29" s="1" t="s">
        <v>49</v>
      </c>
    </row>
    <row r="31" spans="1:5" x14ac:dyDescent="0.25">
      <c r="A31" s="1" t="s">
        <v>52</v>
      </c>
      <c r="B31" s="17">
        <f>B29/113</f>
        <v>217.6810566181457</v>
      </c>
      <c r="C31" s="1" t="s">
        <v>53</v>
      </c>
    </row>
  </sheetData>
  <hyperlinks>
    <hyperlink ref="A5" r:id="rId1" xr:uid="{45A622F9-5943-45FE-99B2-B5F903C72D4E}"/>
    <hyperlink ref="A15" r:id="rId2" xr:uid="{95E089C8-717F-46D8-ABCC-E442DB2AAFD8}"/>
    <hyperlink ref="A9" r:id="rId3" display="1 micron filter " xr:uid="{256D0890-7DC9-4EA9-9587-FB07DA86D099}"/>
    <hyperlink ref="A8" r:id="rId4" display="5 micron filter " xr:uid="{1BD276A9-53D3-4D5A-BC4F-7D97D17C350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C7CB7-FBCB-4CC3-8F9E-09FA056BAEC5}">
  <dimension ref="A1:N14"/>
  <sheetViews>
    <sheetView workbookViewId="0">
      <selection activeCell="P17" sqref="P17"/>
    </sheetView>
  </sheetViews>
  <sheetFormatPr defaultRowHeight="15" x14ac:dyDescent="0.25"/>
  <cols>
    <col min="1" max="1" width="27.42578125" bestFit="1" customWidth="1"/>
    <col min="2" max="2" width="32.42578125" bestFit="1" customWidth="1"/>
    <col min="3" max="3" width="8" bestFit="1" customWidth="1"/>
    <col min="4" max="4" width="8.42578125" customWidth="1"/>
    <col min="5" max="5" width="14.42578125" bestFit="1" customWidth="1"/>
    <col min="6" max="6" width="13.7109375" bestFit="1" customWidth="1"/>
    <col min="7" max="7" width="14.7109375" customWidth="1"/>
    <col min="8" max="8" width="15.28515625" bestFit="1" customWidth="1"/>
    <col min="9" max="9" width="13.85546875" bestFit="1" customWidth="1"/>
    <col min="14" max="14" width="24.5703125" bestFit="1" customWidth="1"/>
  </cols>
  <sheetData>
    <row r="1" spans="1:14" s="24" customFormat="1" ht="30.75" thickBot="1" x14ac:dyDescent="0.3">
      <c r="A1" s="26" t="s">
        <v>4</v>
      </c>
      <c r="B1" s="27" t="s">
        <v>5</v>
      </c>
      <c r="C1" s="27" t="s">
        <v>6</v>
      </c>
      <c r="D1" s="27" t="s">
        <v>7</v>
      </c>
      <c r="E1" s="27" t="s">
        <v>8</v>
      </c>
      <c r="F1" s="27" t="s">
        <v>9</v>
      </c>
      <c r="G1" s="27" t="s">
        <v>10</v>
      </c>
      <c r="H1" s="27" t="s">
        <v>74</v>
      </c>
      <c r="I1" s="28" t="s">
        <v>11</v>
      </c>
    </row>
    <row r="2" spans="1:14" ht="15.75" thickBot="1" x14ac:dyDescent="0.3">
      <c r="A2" s="2" t="s">
        <v>59</v>
      </c>
      <c r="B2" s="32" t="s">
        <v>60</v>
      </c>
      <c r="C2" s="10">
        <v>343.8</v>
      </c>
      <c r="D2" s="10">
        <v>2</v>
      </c>
      <c r="E2" s="34">
        <f t="shared" ref="E2:E7" si="0">D2*C2</f>
        <v>687.6</v>
      </c>
      <c r="F2" s="10">
        <v>15</v>
      </c>
      <c r="G2" s="34">
        <f t="shared" ref="G2:G7" si="1">SUM(E2:F2)</f>
        <v>702.6</v>
      </c>
      <c r="H2" s="34">
        <f t="shared" ref="H2:H7" si="2">G2*0.45</f>
        <v>316.17</v>
      </c>
      <c r="I2" s="20">
        <f t="shared" ref="I2:I7" si="3">SUM(H2,G2)</f>
        <v>1018.77</v>
      </c>
      <c r="N2" s="6" t="s">
        <v>0</v>
      </c>
    </row>
    <row r="3" spans="1:14" x14ac:dyDescent="0.25">
      <c r="A3" s="2" t="s">
        <v>61</v>
      </c>
      <c r="B3" s="32" t="s">
        <v>62</v>
      </c>
      <c r="C3" s="10">
        <v>51.99</v>
      </c>
      <c r="D3" s="10">
        <v>4</v>
      </c>
      <c r="E3" s="34">
        <f t="shared" si="0"/>
        <v>207.96</v>
      </c>
      <c r="F3" s="10">
        <v>0</v>
      </c>
      <c r="G3" s="34">
        <f t="shared" si="1"/>
        <v>207.96</v>
      </c>
      <c r="H3" s="34">
        <f t="shared" si="2"/>
        <v>93.582000000000008</v>
      </c>
      <c r="I3" s="20">
        <f t="shared" si="3"/>
        <v>301.54200000000003</v>
      </c>
      <c r="N3" s="7" t="s">
        <v>1</v>
      </c>
    </row>
    <row r="4" spans="1:14" x14ac:dyDescent="0.25">
      <c r="A4" s="2" t="s">
        <v>63</v>
      </c>
      <c r="B4" s="32" t="s">
        <v>64</v>
      </c>
      <c r="C4" s="10">
        <v>592.99</v>
      </c>
      <c r="D4" s="10">
        <v>1</v>
      </c>
      <c r="E4" s="34">
        <f t="shared" si="0"/>
        <v>592.99</v>
      </c>
      <c r="F4" s="10">
        <v>150</v>
      </c>
      <c r="G4" s="34">
        <f t="shared" si="1"/>
        <v>742.99</v>
      </c>
      <c r="H4" s="34">
        <f t="shared" si="2"/>
        <v>334.34550000000002</v>
      </c>
      <c r="I4" s="20">
        <f t="shared" si="3"/>
        <v>1077.3355000000001</v>
      </c>
      <c r="N4" s="8" t="s">
        <v>2</v>
      </c>
    </row>
    <row r="5" spans="1:14" ht="15.75" thickBot="1" x14ac:dyDescent="0.3">
      <c r="A5" s="2" t="s">
        <v>65</v>
      </c>
      <c r="B5" s="32" t="s">
        <v>66</v>
      </c>
      <c r="C5" s="10">
        <v>60.43</v>
      </c>
      <c r="D5" s="10">
        <v>2</v>
      </c>
      <c r="E5" s="34">
        <f t="shared" si="0"/>
        <v>120.86</v>
      </c>
      <c r="F5" s="10">
        <v>15</v>
      </c>
      <c r="G5" s="34">
        <f t="shared" si="1"/>
        <v>135.86000000000001</v>
      </c>
      <c r="H5" s="34">
        <f t="shared" si="2"/>
        <v>61.137000000000008</v>
      </c>
      <c r="I5" s="20">
        <f t="shared" si="3"/>
        <v>196.99700000000001</v>
      </c>
      <c r="N5" s="9" t="s">
        <v>3</v>
      </c>
    </row>
    <row r="6" spans="1:14" x14ac:dyDescent="0.25">
      <c r="A6" s="2" t="s">
        <v>67</v>
      </c>
      <c r="B6" s="32" t="s">
        <v>68</v>
      </c>
      <c r="C6" s="10">
        <v>482</v>
      </c>
      <c r="D6" s="10">
        <v>1</v>
      </c>
      <c r="E6" s="34">
        <f t="shared" si="0"/>
        <v>482</v>
      </c>
      <c r="F6" s="10">
        <v>150</v>
      </c>
      <c r="G6" s="34">
        <f t="shared" si="1"/>
        <v>632</v>
      </c>
      <c r="H6" s="34">
        <f t="shared" si="2"/>
        <v>284.40000000000003</v>
      </c>
      <c r="I6" s="20">
        <f t="shared" si="3"/>
        <v>916.40000000000009</v>
      </c>
    </row>
    <row r="7" spans="1:14" ht="15.75" thickBot="1" x14ac:dyDescent="0.3">
      <c r="A7" s="4" t="s">
        <v>69</v>
      </c>
      <c r="B7" s="33" t="s">
        <v>70</v>
      </c>
      <c r="C7" s="13">
        <v>148.85</v>
      </c>
      <c r="D7" s="13">
        <v>2</v>
      </c>
      <c r="E7" s="23">
        <f t="shared" si="0"/>
        <v>297.7</v>
      </c>
      <c r="F7" s="13">
        <v>15</v>
      </c>
      <c r="G7" s="23">
        <f t="shared" si="1"/>
        <v>312.7</v>
      </c>
      <c r="H7" s="23">
        <f t="shared" si="2"/>
        <v>140.715</v>
      </c>
      <c r="I7" s="18">
        <f t="shared" si="3"/>
        <v>453.41499999999996</v>
      </c>
    </row>
    <row r="8" spans="1:14" ht="15.75" thickBot="1" x14ac:dyDescent="0.3">
      <c r="A8" s="29" t="s">
        <v>12</v>
      </c>
      <c r="B8" s="30"/>
      <c r="C8" s="30"/>
      <c r="D8" s="30"/>
      <c r="E8" s="31"/>
      <c r="F8" s="31"/>
      <c r="G8" s="31"/>
      <c r="H8" s="30"/>
      <c r="I8" s="49">
        <f>SUM(I2:I7)</f>
        <v>3964.4594999999999</v>
      </c>
    </row>
    <row r="9" spans="1:14" ht="15.75" thickBot="1" x14ac:dyDescent="0.3"/>
    <row r="10" spans="1:14" ht="15.75" thickBot="1" x14ac:dyDescent="0.3">
      <c r="A10" s="64" t="s">
        <v>13</v>
      </c>
      <c r="B10" s="65"/>
      <c r="C10" s="66"/>
    </row>
    <row r="11" spans="1:14" x14ac:dyDescent="0.25">
      <c r="A11" s="14" t="s">
        <v>14</v>
      </c>
      <c r="B11" s="15">
        <f>I8</f>
        <v>3964.4594999999999</v>
      </c>
      <c r="C11" s="19" t="s">
        <v>15</v>
      </c>
    </row>
    <row r="12" spans="1:14" x14ac:dyDescent="0.25">
      <c r="A12" s="2" t="s">
        <v>16</v>
      </c>
      <c r="B12" s="11">
        <f>B11*0.15</f>
        <v>594.66892499999994</v>
      </c>
      <c r="C12" s="3" t="s">
        <v>17</v>
      </c>
      <c r="D12" t="s">
        <v>18</v>
      </c>
    </row>
    <row r="13" spans="1:14" ht="15.75" thickBot="1" x14ac:dyDescent="0.3">
      <c r="A13" s="21" t="s">
        <v>19</v>
      </c>
      <c r="B13" s="36">
        <v>0</v>
      </c>
      <c r="C13" s="37" t="s">
        <v>15</v>
      </c>
      <c r="D13" t="s">
        <v>20</v>
      </c>
    </row>
    <row r="14" spans="1:14" ht="15.75" thickBot="1" x14ac:dyDescent="0.3">
      <c r="A14" s="39" t="s">
        <v>21</v>
      </c>
      <c r="B14" s="40">
        <f>SUM(B11:B13)</f>
        <v>4559.1284249999999</v>
      </c>
      <c r="C14" s="41" t="s">
        <v>15</v>
      </c>
    </row>
  </sheetData>
  <mergeCells count="1">
    <mergeCell ref="A10:C10"/>
  </mergeCells>
  <hyperlinks>
    <hyperlink ref="B3" r:id="rId1" xr:uid="{C837FEC9-5AE7-4ABB-9BF3-2EA30FDE680B}"/>
    <hyperlink ref="B5" r:id="rId2" xr:uid="{7DA9869D-FFAC-4C95-B2D7-B7B2A9CC49C5}"/>
    <hyperlink ref="B2" r:id="rId3" xr:uid="{34829E27-A18D-4376-A85C-4FCB6A2A1C2E}"/>
    <hyperlink ref="B7" r:id="rId4" xr:uid="{EE30DF4A-8AA6-41D9-BDF8-5DA9A3ABF470}"/>
    <hyperlink ref="B6" r:id="rId5" xr:uid="{1FAB0626-E755-4585-A4D6-808A5B2580FB}"/>
    <hyperlink ref="B4" r:id="rId6" xr:uid="{5A114BEB-E94D-46A4-BC97-0E90D42CCE0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7534A-A0C6-40E0-99CE-0FE1444E720F}">
  <dimension ref="A1:E31"/>
  <sheetViews>
    <sheetView workbookViewId="0">
      <selection activeCell="C16" sqref="C16"/>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25" t="s">
        <v>22</v>
      </c>
      <c r="B1" t="s">
        <v>23</v>
      </c>
    </row>
    <row r="2" spans="1:5" x14ac:dyDescent="0.25">
      <c r="A2" s="25"/>
      <c r="B2" t="s">
        <v>54</v>
      </c>
    </row>
    <row r="4" spans="1:5" x14ac:dyDescent="0.25">
      <c r="A4" s="38" t="s">
        <v>24</v>
      </c>
      <c r="B4" s="1" t="s">
        <v>6</v>
      </c>
      <c r="C4" s="1" t="s">
        <v>25</v>
      </c>
      <c r="D4" s="1" t="s">
        <v>26</v>
      </c>
      <c r="E4" t="s">
        <v>27</v>
      </c>
    </row>
    <row r="5" spans="1:5" x14ac:dyDescent="0.25">
      <c r="A5" s="32" t="s">
        <v>28</v>
      </c>
      <c r="B5" s="10">
        <v>400</v>
      </c>
      <c r="C5" s="16">
        <f>21.19/(22.7*0.9)</f>
        <v>1.0372001957905042</v>
      </c>
      <c r="D5" s="11">
        <f>B5*C5</f>
        <v>414.88007831620166</v>
      </c>
      <c r="E5" t="s">
        <v>29</v>
      </c>
    </row>
    <row r="6" spans="1:5" x14ac:dyDescent="0.25">
      <c r="A6" s="48"/>
      <c r="C6" s="5"/>
      <c r="D6" s="5"/>
    </row>
    <row r="7" spans="1:5" x14ac:dyDescent="0.25">
      <c r="A7" s="38" t="s">
        <v>55</v>
      </c>
      <c r="B7" s="1" t="s">
        <v>6</v>
      </c>
      <c r="C7" s="1" t="s">
        <v>25</v>
      </c>
      <c r="D7" s="1" t="s">
        <v>26</v>
      </c>
      <c r="E7" t="s">
        <v>27</v>
      </c>
    </row>
    <row r="8" spans="1:5" x14ac:dyDescent="0.25">
      <c r="A8" s="32" t="s">
        <v>56</v>
      </c>
      <c r="B8" s="16">
        <f>131.8/20</f>
        <v>6.5900000000000007</v>
      </c>
      <c r="C8" s="10">
        <f>20/20</f>
        <v>1</v>
      </c>
      <c r="D8" s="11">
        <f>B8*C8</f>
        <v>6.5900000000000007</v>
      </c>
      <c r="E8" t="s">
        <v>72</v>
      </c>
    </row>
    <row r="9" spans="1:5" x14ac:dyDescent="0.25">
      <c r="A9" s="32" t="s">
        <v>58</v>
      </c>
      <c r="B9" s="16">
        <f>133.2/20</f>
        <v>6.6599999999999993</v>
      </c>
      <c r="C9" s="10">
        <f>20/20</f>
        <v>1</v>
      </c>
      <c r="D9" s="11">
        <f>B9*C9</f>
        <v>6.6599999999999993</v>
      </c>
    </row>
    <row r="10" spans="1:5" x14ac:dyDescent="0.25">
      <c r="A10" s="48"/>
      <c r="C10" s="5"/>
      <c r="D10" s="5"/>
    </row>
    <row r="11" spans="1:5" x14ac:dyDescent="0.25">
      <c r="B11" s="5"/>
      <c r="C11" s="5" t="s">
        <v>30</v>
      </c>
    </row>
    <row r="12" spans="1:5" x14ac:dyDescent="0.25">
      <c r="A12" s="38" t="s">
        <v>31</v>
      </c>
      <c r="B12" s="16">
        <f>0.02*'20Barrel_CAPEX'!B11</f>
        <v>79.289190000000005</v>
      </c>
      <c r="C12" s="10">
        <v>113</v>
      </c>
      <c r="D12" s="11">
        <f>B12/C12</f>
        <v>0.70167424778761067</v>
      </c>
      <c r="E12" t="s">
        <v>32</v>
      </c>
    </row>
    <row r="13" spans="1:5" x14ac:dyDescent="0.25">
      <c r="A13" s="25"/>
    </row>
    <row r="14" spans="1:5" x14ac:dyDescent="0.25">
      <c r="A14" s="38" t="s">
        <v>33</v>
      </c>
      <c r="B14" s="1" t="s">
        <v>6</v>
      </c>
      <c r="C14" s="1" t="s">
        <v>25</v>
      </c>
      <c r="D14" s="1"/>
    </row>
    <row r="15" spans="1:5" ht="15.75" thickBot="1" x14ac:dyDescent="0.3">
      <c r="A15" s="44" t="s">
        <v>34</v>
      </c>
      <c r="B15" s="36">
        <v>0.1149</v>
      </c>
      <c r="C15" s="22">
        <v>36.200000000000003</v>
      </c>
      <c r="D15" s="46">
        <f>B15*C15</f>
        <v>4.1593800000000005</v>
      </c>
      <c r="E15" t="s">
        <v>35</v>
      </c>
    </row>
    <row r="16" spans="1:5" x14ac:dyDescent="0.25">
      <c r="A16" s="42" t="s">
        <v>36</v>
      </c>
      <c r="B16" s="43"/>
      <c r="C16" s="43"/>
      <c r="D16" s="47">
        <f>SUM(D5:D15)</f>
        <v>432.99113256398925</v>
      </c>
    </row>
    <row r="17" spans="1:5" ht="15.75" thickBot="1" x14ac:dyDescent="0.3">
      <c r="A17" s="29" t="s">
        <v>37</v>
      </c>
      <c r="B17" s="30"/>
      <c r="C17" s="30"/>
      <c r="D17" s="35">
        <f>D16*113</f>
        <v>48927.997979730782</v>
      </c>
    </row>
    <row r="19" spans="1:5" x14ac:dyDescent="0.25">
      <c r="A19" s="25" t="s">
        <v>38</v>
      </c>
      <c r="C19" s="5" t="s">
        <v>30</v>
      </c>
    </row>
    <row r="20" spans="1:5" x14ac:dyDescent="0.25">
      <c r="A20" s="1" t="s">
        <v>39</v>
      </c>
      <c r="B20" s="1">
        <v>0</v>
      </c>
      <c r="C20" s="1">
        <v>0</v>
      </c>
      <c r="D20" s="1">
        <v>0</v>
      </c>
      <c r="E20" t="s">
        <v>40</v>
      </c>
    </row>
    <row r="21" spans="1:5" x14ac:dyDescent="0.25">
      <c r="A21" s="1" t="s">
        <v>41</v>
      </c>
      <c r="B21" s="11">
        <f>0.015*'20Barrel_CAPEX'!B11</f>
        <v>59.4668925</v>
      </c>
      <c r="C21" s="10">
        <v>113</v>
      </c>
      <c r="D21" s="11">
        <f>B21/C21</f>
        <v>0.52625568584070792</v>
      </c>
      <c r="E21" t="s">
        <v>42</v>
      </c>
    </row>
    <row r="22" spans="1:5" ht="15.75" thickBot="1" x14ac:dyDescent="0.3">
      <c r="A22" s="45" t="s">
        <v>43</v>
      </c>
      <c r="B22" s="46">
        <f>0.006*'20Barrel_CAPEX'!B11</f>
        <v>23.786757000000001</v>
      </c>
      <c r="C22" s="36">
        <v>113</v>
      </c>
      <c r="D22" s="46">
        <f>B22/C22</f>
        <v>0.21050227433628321</v>
      </c>
      <c r="E22" t="s">
        <v>44</v>
      </c>
    </row>
    <row r="23" spans="1:5" x14ac:dyDescent="0.25">
      <c r="A23" s="42" t="s">
        <v>45</v>
      </c>
      <c r="B23" s="43"/>
      <c r="C23" s="43"/>
      <c r="D23" s="47">
        <f>SUM(D20:D22)</f>
        <v>0.73675796017699113</v>
      </c>
    </row>
    <row r="24" spans="1:5" ht="15.75" thickBot="1" x14ac:dyDescent="0.3">
      <c r="A24" s="29" t="s">
        <v>46</v>
      </c>
      <c r="B24" s="30"/>
      <c r="C24" s="30"/>
      <c r="D24" s="35">
        <f>D23*113</f>
        <v>83.253649499999995</v>
      </c>
    </row>
    <row r="26" spans="1:5" x14ac:dyDescent="0.25">
      <c r="A26" s="1" t="s">
        <v>47</v>
      </c>
      <c r="B26" s="12">
        <f>'20Barrel_CAPEX'!B14</f>
        <v>4559.1284249999999</v>
      </c>
      <c r="C26" s="1" t="s">
        <v>15</v>
      </c>
      <c r="D26" t="s">
        <v>48</v>
      </c>
    </row>
    <row r="27" spans="1:5" x14ac:dyDescent="0.25">
      <c r="A27" s="1" t="s">
        <v>75</v>
      </c>
      <c r="B27" s="1">
        <f>B26/10</f>
        <v>455.91284250000001</v>
      </c>
      <c r="C27" s="1" t="s">
        <v>49</v>
      </c>
      <c r="D27" t="s">
        <v>50</v>
      </c>
    </row>
    <row r="28" spans="1:5" x14ac:dyDescent="0.25">
      <c r="A28" s="1" t="s">
        <v>77</v>
      </c>
      <c r="B28" s="63">
        <f>B27/113</f>
        <v>4.0346269247787614</v>
      </c>
      <c r="C28" s="1" t="s">
        <v>78</v>
      </c>
    </row>
    <row r="29" spans="1:5" x14ac:dyDescent="0.25">
      <c r="A29" s="1" t="s">
        <v>51</v>
      </c>
      <c r="B29" s="12">
        <f>D17+D24</f>
        <v>49011.251629230785</v>
      </c>
      <c r="C29" s="1" t="s">
        <v>49</v>
      </c>
    </row>
    <row r="31" spans="1:5" x14ac:dyDescent="0.25">
      <c r="A31" s="1" t="s">
        <v>52</v>
      </c>
      <c r="B31" s="17">
        <f>B29/113</f>
        <v>433.72789052416624</v>
      </c>
      <c r="C31" s="1" t="s">
        <v>53</v>
      </c>
    </row>
  </sheetData>
  <hyperlinks>
    <hyperlink ref="A5" r:id="rId1" xr:uid="{0268947F-186C-44FD-96F8-2DFB6BDD56A6}"/>
    <hyperlink ref="A15" r:id="rId2" xr:uid="{82373852-0A5A-44D5-B868-3FCAABF45C66}"/>
    <hyperlink ref="A9" r:id="rId3" display="1 micron filter " xr:uid="{BFB0C5B6-00AE-4ABA-B023-4B0B17CB936E}"/>
    <hyperlink ref="A8" r:id="rId4" display="5 micron filter " xr:uid="{61AADD73-9EFD-4FD1-9E9B-06F5476BFBA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26A2-09B0-4D15-98BA-62DB9CF3D83F}">
  <dimension ref="A1:E31"/>
  <sheetViews>
    <sheetView workbookViewId="0">
      <selection activeCell="C16" sqref="C16"/>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25" t="s">
        <v>22</v>
      </c>
      <c r="B1" t="s">
        <v>23</v>
      </c>
    </row>
    <row r="2" spans="1:5" x14ac:dyDescent="0.25">
      <c r="A2" s="25"/>
      <c r="B2" t="s">
        <v>54</v>
      </c>
    </row>
    <row r="4" spans="1:5" x14ac:dyDescent="0.25">
      <c r="A4" s="38" t="s">
        <v>24</v>
      </c>
      <c r="B4" s="1" t="s">
        <v>6</v>
      </c>
      <c r="C4" s="1" t="s">
        <v>25</v>
      </c>
      <c r="D4" s="1" t="s">
        <v>26</v>
      </c>
      <c r="E4" t="s">
        <v>27</v>
      </c>
    </row>
    <row r="5" spans="1:5" x14ac:dyDescent="0.25">
      <c r="A5" s="32" t="s">
        <v>28</v>
      </c>
      <c r="B5" s="10">
        <v>400</v>
      </c>
      <c r="C5" s="16">
        <f>2.12/(22.7*0.9)</f>
        <v>0.10376896720509056</v>
      </c>
      <c r="D5" s="11">
        <f>B5*C5</f>
        <v>41.507586882036222</v>
      </c>
      <c r="E5" t="s">
        <v>29</v>
      </c>
    </row>
    <row r="6" spans="1:5" x14ac:dyDescent="0.25">
      <c r="A6" s="48"/>
      <c r="C6" s="5"/>
      <c r="D6" s="5"/>
    </row>
    <row r="7" spans="1:5" x14ac:dyDescent="0.25">
      <c r="A7" s="38" t="s">
        <v>55</v>
      </c>
      <c r="B7" s="1" t="s">
        <v>6</v>
      </c>
      <c r="C7" s="1" t="s">
        <v>25</v>
      </c>
      <c r="D7" s="1" t="s">
        <v>26</v>
      </c>
      <c r="E7" t="s">
        <v>27</v>
      </c>
    </row>
    <row r="8" spans="1:5" x14ac:dyDescent="0.25">
      <c r="A8" s="32" t="s">
        <v>56</v>
      </c>
      <c r="B8" s="16">
        <f>131.8/20</f>
        <v>6.5900000000000007</v>
      </c>
      <c r="C8" s="10">
        <f>1/10</f>
        <v>0.1</v>
      </c>
      <c r="D8" s="11">
        <f>B8*C8</f>
        <v>0.65900000000000014</v>
      </c>
      <c r="E8" t="s">
        <v>72</v>
      </c>
    </row>
    <row r="9" spans="1:5" x14ac:dyDescent="0.25">
      <c r="A9" s="32" t="s">
        <v>58</v>
      </c>
      <c r="B9" s="16">
        <f>133.2/20</f>
        <v>6.6599999999999993</v>
      </c>
      <c r="C9" s="10">
        <f>1/10</f>
        <v>0.1</v>
      </c>
      <c r="D9" s="11">
        <f>B9*C9</f>
        <v>0.66599999999999993</v>
      </c>
    </row>
    <row r="10" spans="1:5" x14ac:dyDescent="0.25">
      <c r="A10" s="48"/>
      <c r="C10" s="5"/>
      <c r="D10" s="5"/>
    </row>
    <row r="11" spans="1:5" x14ac:dyDescent="0.25">
      <c r="B11" s="5"/>
      <c r="C11" s="5" t="s">
        <v>30</v>
      </c>
    </row>
    <row r="12" spans="1:5" x14ac:dyDescent="0.25">
      <c r="A12" s="38" t="s">
        <v>31</v>
      </c>
      <c r="B12" s="16">
        <f>0.02*Baseline_CAPEX!B11</f>
        <v>79.289190000000005</v>
      </c>
      <c r="C12" s="10">
        <v>113</v>
      </c>
      <c r="D12" s="11">
        <f>B12/C12</f>
        <v>0.70167424778761067</v>
      </c>
      <c r="E12" t="s">
        <v>32</v>
      </c>
    </row>
    <row r="13" spans="1:5" x14ac:dyDescent="0.25">
      <c r="A13" s="25"/>
    </row>
    <row r="14" spans="1:5" x14ac:dyDescent="0.25">
      <c r="A14" s="38" t="s">
        <v>33</v>
      </c>
      <c r="B14" s="1" t="s">
        <v>6</v>
      </c>
      <c r="C14" s="1" t="s">
        <v>25</v>
      </c>
      <c r="D14" s="1"/>
    </row>
    <row r="15" spans="1:5" ht="15.75" thickBot="1" x14ac:dyDescent="0.3">
      <c r="A15" s="44" t="s">
        <v>34</v>
      </c>
      <c r="B15" s="36">
        <v>0.1149</v>
      </c>
      <c r="C15" s="22">
        <v>1.85</v>
      </c>
      <c r="D15" s="46">
        <f>B15*C15</f>
        <v>0.212565</v>
      </c>
      <c r="E15" t="s">
        <v>35</v>
      </c>
    </row>
    <row r="16" spans="1:5" x14ac:dyDescent="0.25">
      <c r="A16" s="42" t="s">
        <v>36</v>
      </c>
      <c r="B16" s="43"/>
      <c r="C16" s="43"/>
      <c r="D16" s="47">
        <f>SUM(D5:D15)</f>
        <v>43.746826129823823</v>
      </c>
    </row>
    <row r="17" spans="1:5" ht="15.75" thickBot="1" x14ac:dyDescent="0.3">
      <c r="A17" s="29" t="s">
        <v>37</v>
      </c>
      <c r="B17" s="30"/>
      <c r="C17" s="30"/>
      <c r="D17" s="35">
        <f>D16*113</f>
        <v>4943.3913526700917</v>
      </c>
    </row>
    <row r="19" spans="1:5" x14ac:dyDescent="0.25">
      <c r="A19" s="25" t="s">
        <v>38</v>
      </c>
      <c r="C19" s="5" t="s">
        <v>30</v>
      </c>
    </row>
    <row r="20" spans="1:5" x14ac:dyDescent="0.25">
      <c r="A20" s="1" t="s">
        <v>39</v>
      </c>
      <c r="B20" s="1">
        <v>0</v>
      </c>
      <c r="C20" s="1">
        <v>0</v>
      </c>
      <c r="D20" s="1">
        <v>0</v>
      </c>
      <c r="E20" t="s">
        <v>40</v>
      </c>
    </row>
    <row r="21" spans="1:5" x14ac:dyDescent="0.25">
      <c r="A21" s="1" t="s">
        <v>41</v>
      </c>
      <c r="B21" s="11">
        <f>0.015*Baseline_CAPEX!B11</f>
        <v>59.4668925</v>
      </c>
      <c r="C21" s="10">
        <v>113</v>
      </c>
      <c r="D21" s="11">
        <f>B21/C21</f>
        <v>0.52625568584070792</v>
      </c>
      <c r="E21" t="s">
        <v>42</v>
      </c>
    </row>
    <row r="22" spans="1:5" ht="15.75" thickBot="1" x14ac:dyDescent="0.3">
      <c r="A22" s="45" t="s">
        <v>43</v>
      </c>
      <c r="B22" s="46">
        <f>0.006*Baseline_CAPEX!B11</f>
        <v>23.786757000000001</v>
      </c>
      <c r="C22" s="36">
        <v>113</v>
      </c>
      <c r="D22" s="46">
        <f>B22/C22</f>
        <v>0.21050227433628321</v>
      </c>
      <c r="E22" t="s">
        <v>44</v>
      </c>
    </row>
    <row r="23" spans="1:5" x14ac:dyDescent="0.25">
      <c r="A23" s="42" t="s">
        <v>45</v>
      </c>
      <c r="B23" s="43"/>
      <c r="C23" s="43"/>
      <c r="D23" s="47">
        <f>SUM(D20:D22)</f>
        <v>0.73675796017699113</v>
      </c>
    </row>
    <row r="24" spans="1:5" ht="15.75" thickBot="1" x14ac:dyDescent="0.3">
      <c r="A24" s="29" t="s">
        <v>46</v>
      </c>
      <c r="B24" s="30"/>
      <c r="C24" s="30"/>
      <c r="D24" s="35">
        <f>D23*113</f>
        <v>83.253649499999995</v>
      </c>
    </row>
    <row r="26" spans="1:5" x14ac:dyDescent="0.25">
      <c r="A26" s="1" t="s">
        <v>47</v>
      </c>
      <c r="B26" s="12">
        <f>Baseline_CAPEX!B14</f>
        <v>4559.1284249999999</v>
      </c>
      <c r="C26" s="1" t="s">
        <v>15</v>
      </c>
      <c r="D26" t="s">
        <v>48</v>
      </c>
    </row>
    <row r="27" spans="1:5" x14ac:dyDescent="0.25">
      <c r="A27" s="1" t="s">
        <v>75</v>
      </c>
      <c r="B27" s="1">
        <f>B26/10</f>
        <v>455.91284250000001</v>
      </c>
      <c r="C27" s="1" t="s">
        <v>49</v>
      </c>
      <c r="D27" t="s">
        <v>50</v>
      </c>
    </row>
    <row r="28" spans="1:5" x14ac:dyDescent="0.25">
      <c r="A28" s="1" t="s">
        <v>77</v>
      </c>
      <c r="B28" s="63">
        <f>B27/113</f>
        <v>4.0346269247787614</v>
      </c>
      <c r="C28" s="1" t="s">
        <v>78</v>
      </c>
    </row>
    <row r="29" spans="1:5" x14ac:dyDescent="0.25">
      <c r="A29" s="1" t="s">
        <v>51</v>
      </c>
      <c r="B29" s="12">
        <f>D17+D24</f>
        <v>5026.6450021700921</v>
      </c>
      <c r="C29" s="1" t="s">
        <v>49</v>
      </c>
    </row>
    <row r="31" spans="1:5" x14ac:dyDescent="0.25">
      <c r="A31" s="1" t="s">
        <v>52</v>
      </c>
      <c r="B31" s="17">
        <f>B29/113</f>
        <v>44.483584090000818</v>
      </c>
      <c r="C31" s="1" t="s">
        <v>53</v>
      </c>
    </row>
  </sheetData>
  <hyperlinks>
    <hyperlink ref="A5" r:id="rId1" xr:uid="{A8B89CC1-C478-47EC-B970-A36C340DD6C9}"/>
    <hyperlink ref="A15" r:id="rId2" xr:uid="{69223078-6DC1-4302-9BAE-E7B10EFC92C3}"/>
    <hyperlink ref="A9" r:id="rId3" display="1 micron filter " xr:uid="{319613BE-DD26-42C1-87DC-A3387B593AD6}"/>
    <hyperlink ref="A8" r:id="rId4" display="5 micron filter " xr:uid="{367BAC48-E59A-4BE0-823A-701DC9D6EE3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BDA7-9D97-4C0F-83EC-EB789E4692A8}">
  <dimension ref="A1:E31"/>
  <sheetViews>
    <sheetView workbookViewId="0">
      <selection activeCell="C15" sqref="C15"/>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25" t="s">
        <v>22</v>
      </c>
      <c r="B1" t="s">
        <v>23</v>
      </c>
    </row>
    <row r="2" spans="1:5" x14ac:dyDescent="0.25">
      <c r="A2" s="25"/>
      <c r="B2" t="s">
        <v>54</v>
      </c>
    </row>
    <row r="4" spans="1:5" x14ac:dyDescent="0.25">
      <c r="A4" s="38" t="s">
        <v>24</v>
      </c>
      <c r="B4" s="1" t="s">
        <v>6</v>
      </c>
      <c r="C4" s="1" t="s">
        <v>25</v>
      </c>
      <c r="D4" s="1" t="s">
        <v>26</v>
      </c>
      <c r="E4" t="s">
        <v>27</v>
      </c>
    </row>
    <row r="5" spans="1:5" x14ac:dyDescent="0.25">
      <c r="A5" s="32" t="s">
        <v>28</v>
      </c>
      <c r="B5" s="10">
        <v>400</v>
      </c>
      <c r="C5" s="16">
        <f>2.12/(22.7*0.9)</f>
        <v>0.10376896720509056</v>
      </c>
      <c r="D5" s="11">
        <f>B5*C5</f>
        <v>41.507586882036222</v>
      </c>
      <c r="E5" t="s">
        <v>29</v>
      </c>
    </row>
    <row r="6" spans="1:5" x14ac:dyDescent="0.25">
      <c r="A6" s="48"/>
      <c r="C6" s="5"/>
      <c r="D6" s="5"/>
    </row>
    <row r="7" spans="1:5" x14ac:dyDescent="0.25">
      <c r="A7" s="38" t="s">
        <v>55</v>
      </c>
      <c r="B7" s="1" t="s">
        <v>6</v>
      </c>
      <c r="C7" s="1" t="s">
        <v>25</v>
      </c>
      <c r="D7" s="1" t="s">
        <v>26</v>
      </c>
      <c r="E7" t="s">
        <v>27</v>
      </c>
    </row>
    <row r="8" spans="1:5" x14ac:dyDescent="0.25">
      <c r="A8" s="32" t="s">
        <v>56</v>
      </c>
      <c r="B8" s="16">
        <f>131.8/20</f>
        <v>6.5900000000000007</v>
      </c>
      <c r="C8" s="10">
        <f>1/10</f>
        <v>0.1</v>
      </c>
      <c r="D8" s="11">
        <f>B8*C8</f>
        <v>0.65900000000000014</v>
      </c>
      <c r="E8" t="s">
        <v>72</v>
      </c>
    </row>
    <row r="9" spans="1:5" x14ac:dyDescent="0.25">
      <c r="A9" s="32" t="s">
        <v>58</v>
      </c>
      <c r="B9" s="16">
        <f>133.2/20</f>
        <v>6.6599999999999993</v>
      </c>
      <c r="C9" s="10">
        <f>1/10</f>
        <v>0.1</v>
      </c>
      <c r="D9" s="11">
        <f>B9*C9</f>
        <v>0.66599999999999993</v>
      </c>
    </row>
    <row r="10" spans="1:5" x14ac:dyDescent="0.25">
      <c r="A10" s="48"/>
      <c r="C10" s="5"/>
      <c r="D10" s="5"/>
    </row>
    <row r="11" spans="1:5" x14ac:dyDescent="0.25">
      <c r="B11" s="5"/>
      <c r="C11" s="5" t="s">
        <v>30</v>
      </c>
    </row>
    <row r="12" spans="1:5" x14ac:dyDescent="0.25">
      <c r="A12" s="38" t="s">
        <v>31</v>
      </c>
      <c r="B12" s="16">
        <f>0.02*Baseline_CAPEX!B11</f>
        <v>79.289190000000005</v>
      </c>
      <c r="C12" s="10">
        <v>113</v>
      </c>
      <c r="D12" s="11">
        <f>B12/C12</f>
        <v>0.70167424778761067</v>
      </c>
      <c r="E12" t="s">
        <v>32</v>
      </c>
    </row>
    <row r="13" spans="1:5" x14ac:dyDescent="0.25">
      <c r="A13" s="25"/>
    </row>
    <row r="14" spans="1:5" x14ac:dyDescent="0.25">
      <c r="A14" s="38" t="s">
        <v>33</v>
      </c>
      <c r="B14" s="1" t="s">
        <v>6</v>
      </c>
      <c r="C14" s="1" t="s">
        <v>25</v>
      </c>
      <c r="D14" s="1"/>
    </row>
    <row r="15" spans="1:5" ht="15.75" thickBot="1" x14ac:dyDescent="0.3">
      <c r="A15" s="44" t="s">
        <v>34</v>
      </c>
      <c r="B15" s="36">
        <v>0.1149</v>
      </c>
      <c r="C15" s="22">
        <v>7.17</v>
      </c>
      <c r="D15" s="46">
        <f>B15*C15</f>
        <v>0.82383300000000004</v>
      </c>
      <c r="E15" t="s">
        <v>35</v>
      </c>
    </row>
    <row r="16" spans="1:5" x14ac:dyDescent="0.25">
      <c r="A16" s="42" t="s">
        <v>36</v>
      </c>
      <c r="B16" s="43"/>
      <c r="C16" s="43"/>
      <c r="D16" s="47">
        <f>SUM(D5:D15)</f>
        <v>44.358094129823826</v>
      </c>
    </row>
    <row r="17" spans="1:5" ht="15.75" thickBot="1" x14ac:dyDescent="0.3">
      <c r="A17" s="29" t="s">
        <v>37</v>
      </c>
      <c r="B17" s="30"/>
      <c r="C17" s="30"/>
      <c r="D17" s="35">
        <f>D16*113</f>
        <v>5012.4646366700927</v>
      </c>
    </row>
    <row r="19" spans="1:5" x14ac:dyDescent="0.25">
      <c r="A19" s="25" t="s">
        <v>38</v>
      </c>
      <c r="C19" s="5" t="s">
        <v>30</v>
      </c>
    </row>
    <row r="20" spans="1:5" x14ac:dyDescent="0.25">
      <c r="A20" s="1" t="s">
        <v>39</v>
      </c>
      <c r="B20" s="1">
        <v>0</v>
      </c>
      <c r="C20" s="1">
        <v>0</v>
      </c>
      <c r="D20" s="1">
        <v>0</v>
      </c>
      <c r="E20" t="s">
        <v>40</v>
      </c>
    </row>
    <row r="21" spans="1:5" x14ac:dyDescent="0.25">
      <c r="A21" s="1" t="s">
        <v>41</v>
      </c>
      <c r="B21" s="11">
        <f>0.015*Baseline_CAPEX!B11</f>
        <v>59.4668925</v>
      </c>
      <c r="C21" s="10">
        <v>113</v>
      </c>
      <c r="D21" s="11">
        <f>B21/C21</f>
        <v>0.52625568584070792</v>
      </c>
      <c r="E21" t="s">
        <v>42</v>
      </c>
    </row>
    <row r="22" spans="1:5" ht="15.75" thickBot="1" x14ac:dyDescent="0.3">
      <c r="A22" s="45" t="s">
        <v>43</v>
      </c>
      <c r="B22" s="46">
        <f>0.006*Baseline_CAPEX!B11</f>
        <v>23.786757000000001</v>
      </c>
      <c r="C22" s="36">
        <v>113</v>
      </c>
      <c r="D22" s="46">
        <f>B22/C22</f>
        <v>0.21050227433628321</v>
      </c>
      <c r="E22" t="s">
        <v>44</v>
      </c>
    </row>
    <row r="23" spans="1:5" x14ac:dyDescent="0.25">
      <c r="A23" s="42" t="s">
        <v>45</v>
      </c>
      <c r="B23" s="43"/>
      <c r="C23" s="43"/>
      <c r="D23" s="47">
        <f>SUM(D20:D22)</f>
        <v>0.73675796017699113</v>
      </c>
    </row>
    <row r="24" spans="1:5" ht="15.75" thickBot="1" x14ac:dyDescent="0.3">
      <c r="A24" s="29" t="s">
        <v>46</v>
      </c>
      <c r="B24" s="30"/>
      <c r="C24" s="30"/>
      <c r="D24" s="35">
        <f>D23*113</f>
        <v>83.253649499999995</v>
      </c>
    </row>
    <row r="26" spans="1:5" x14ac:dyDescent="0.25">
      <c r="A26" s="1" t="s">
        <v>47</v>
      </c>
      <c r="B26" s="12">
        <f>Baseline_CAPEX!B14</f>
        <v>4559.1284249999999</v>
      </c>
      <c r="C26" s="1" t="s">
        <v>15</v>
      </c>
      <c r="D26" t="s">
        <v>48</v>
      </c>
    </row>
    <row r="27" spans="1:5" x14ac:dyDescent="0.25">
      <c r="A27" s="1" t="s">
        <v>75</v>
      </c>
      <c r="B27" s="1">
        <f>B26/10</f>
        <v>455.91284250000001</v>
      </c>
      <c r="C27" s="1" t="s">
        <v>49</v>
      </c>
      <c r="D27" t="s">
        <v>50</v>
      </c>
    </row>
    <row r="28" spans="1:5" x14ac:dyDescent="0.25">
      <c r="A28" s="1" t="s">
        <v>77</v>
      </c>
      <c r="B28" s="63">
        <f>B27/113</f>
        <v>4.0346269247787614</v>
      </c>
      <c r="C28" s="1" t="s">
        <v>78</v>
      </c>
    </row>
    <row r="29" spans="1:5" x14ac:dyDescent="0.25">
      <c r="A29" s="1" t="s">
        <v>51</v>
      </c>
      <c r="B29" s="12">
        <f>D17+D24</f>
        <v>5095.7182861700931</v>
      </c>
      <c r="C29" s="1" t="s">
        <v>49</v>
      </c>
    </row>
    <row r="31" spans="1:5" x14ac:dyDescent="0.25">
      <c r="A31" s="1" t="s">
        <v>52</v>
      </c>
      <c r="B31" s="17">
        <f>B29/113</f>
        <v>45.094852090000821</v>
      </c>
      <c r="C31" s="1" t="s">
        <v>53</v>
      </c>
    </row>
  </sheetData>
  <hyperlinks>
    <hyperlink ref="A5" r:id="rId1" xr:uid="{D82C738B-66C4-425B-A1DA-B6E31AD2016B}"/>
    <hyperlink ref="A15" r:id="rId2" xr:uid="{D181749D-6539-471C-ADD2-490EC98EFD5A}"/>
    <hyperlink ref="A9" r:id="rId3" display="1 micron filter " xr:uid="{5DDFC498-C4F6-4061-8FEC-D450C81D146A}"/>
    <hyperlink ref="A8" r:id="rId4" display="5 micron filter " xr:uid="{A6D7AB12-53C6-471A-91C1-71D66B104DB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59D35-B507-4EBC-989A-219E9C6FCD3A}">
  <dimension ref="A1:E31"/>
  <sheetViews>
    <sheetView workbookViewId="0">
      <selection activeCell="C16" sqref="C16"/>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25" t="s">
        <v>22</v>
      </c>
      <c r="B1" t="s">
        <v>23</v>
      </c>
    </row>
    <row r="2" spans="1:5" x14ac:dyDescent="0.25">
      <c r="A2" s="25"/>
      <c r="B2" t="s">
        <v>54</v>
      </c>
    </row>
    <row r="4" spans="1:5" x14ac:dyDescent="0.25">
      <c r="A4" s="38" t="s">
        <v>24</v>
      </c>
      <c r="B4" s="1" t="s">
        <v>6</v>
      </c>
      <c r="C4" s="1" t="s">
        <v>25</v>
      </c>
      <c r="D4" s="1" t="s">
        <v>26</v>
      </c>
      <c r="E4" t="s">
        <v>27</v>
      </c>
    </row>
    <row r="5" spans="1:5" x14ac:dyDescent="0.25">
      <c r="A5" s="32" t="s">
        <v>28</v>
      </c>
      <c r="B5" s="10">
        <v>400</v>
      </c>
      <c r="C5" s="16">
        <f>2.12/(22.7*0.9)</f>
        <v>0.10376896720509056</v>
      </c>
      <c r="D5" s="11">
        <f>B5*C5</f>
        <v>41.507586882036222</v>
      </c>
      <c r="E5" t="s">
        <v>29</v>
      </c>
    </row>
    <row r="6" spans="1:5" x14ac:dyDescent="0.25">
      <c r="A6" s="48"/>
      <c r="C6" s="5"/>
      <c r="D6" s="5"/>
    </row>
    <row r="7" spans="1:5" x14ac:dyDescent="0.25">
      <c r="A7" s="38" t="s">
        <v>55</v>
      </c>
      <c r="B7" s="1" t="s">
        <v>6</v>
      </c>
      <c r="C7" s="1" t="s">
        <v>25</v>
      </c>
      <c r="D7" s="1" t="s">
        <v>26</v>
      </c>
      <c r="E7" t="s">
        <v>27</v>
      </c>
    </row>
    <row r="8" spans="1:5" x14ac:dyDescent="0.25">
      <c r="A8" s="32" t="s">
        <v>56</v>
      </c>
      <c r="B8" s="16">
        <f>131.8/20</f>
        <v>6.5900000000000007</v>
      </c>
      <c r="C8" s="10">
        <f>1/10</f>
        <v>0.1</v>
      </c>
      <c r="D8" s="11">
        <f>B8*C8</f>
        <v>0.65900000000000014</v>
      </c>
      <c r="E8" t="s">
        <v>72</v>
      </c>
    </row>
    <row r="9" spans="1:5" x14ac:dyDescent="0.25">
      <c r="A9" s="32" t="s">
        <v>58</v>
      </c>
      <c r="B9" s="16">
        <f>133.2/20</f>
        <v>6.6599999999999993</v>
      </c>
      <c r="C9" s="10">
        <f>1/10</f>
        <v>0.1</v>
      </c>
      <c r="D9" s="11">
        <f>B9*C9</f>
        <v>0.66599999999999993</v>
      </c>
    </row>
    <row r="10" spans="1:5" x14ac:dyDescent="0.25">
      <c r="A10" s="48"/>
      <c r="C10" s="5"/>
      <c r="D10" s="5"/>
    </row>
    <row r="11" spans="1:5" x14ac:dyDescent="0.25">
      <c r="B11" s="5"/>
      <c r="C11" s="5" t="s">
        <v>30</v>
      </c>
    </row>
    <row r="12" spans="1:5" x14ac:dyDescent="0.25">
      <c r="A12" s="38" t="s">
        <v>31</v>
      </c>
      <c r="B12" s="16">
        <f>0.02*Baseline_CAPEX!B11</f>
        <v>79.289190000000005</v>
      </c>
      <c r="C12" s="10">
        <v>113</v>
      </c>
      <c r="D12" s="11">
        <f>B12/C12</f>
        <v>0.70167424778761067</v>
      </c>
      <c r="E12" t="s">
        <v>32</v>
      </c>
    </row>
    <row r="13" spans="1:5" x14ac:dyDescent="0.25">
      <c r="A13" s="25"/>
    </row>
    <row r="14" spans="1:5" x14ac:dyDescent="0.25">
      <c r="A14" s="38" t="s">
        <v>33</v>
      </c>
      <c r="B14" s="1" t="s">
        <v>6</v>
      </c>
      <c r="C14" s="1" t="s">
        <v>25</v>
      </c>
      <c r="D14" s="1"/>
    </row>
    <row r="15" spans="1:5" ht="15.75" thickBot="1" x14ac:dyDescent="0.3">
      <c r="A15" s="44" t="s">
        <v>34</v>
      </c>
      <c r="B15" s="36">
        <v>0.1149</v>
      </c>
      <c r="C15" s="22">
        <v>14.3</v>
      </c>
      <c r="D15" s="46">
        <f>B15*C15</f>
        <v>1.64307</v>
      </c>
      <c r="E15" t="s">
        <v>35</v>
      </c>
    </row>
    <row r="16" spans="1:5" x14ac:dyDescent="0.25">
      <c r="A16" s="42" t="s">
        <v>36</v>
      </c>
      <c r="B16" s="43"/>
      <c r="C16" s="43"/>
      <c r="D16" s="47">
        <f>SUM(D5:D15)</f>
        <v>45.177331129823827</v>
      </c>
    </row>
    <row r="17" spans="1:5" ht="15.75" thickBot="1" x14ac:dyDescent="0.3">
      <c r="A17" s="29" t="s">
        <v>37</v>
      </c>
      <c r="B17" s="30"/>
      <c r="C17" s="30"/>
      <c r="D17" s="35">
        <f>D16*113</f>
        <v>5105.0384176700927</v>
      </c>
    </row>
    <row r="19" spans="1:5" x14ac:dyDescent="0.25">
      <c r="A19" s="25" t="s">
        <v>38</v>
      </c>
      <c r="C19" s="5" t="s">
        <v>30</v>
      </c>
    </row>
    <row r="20" spans="1:5" x14ac:dyDescent="0.25">
      <c r="A20" s="1" t="s">
        <v>39</v>
      </c>
      <c r="B20" s="1">
        <v>0</v>
      </c>
      <c r="C20" s="1">
        <v>0</v>
      </c>
      <c r="D20" s="1">
        <v>0</v>
      </c>
      <c r="E20" t="s">
        <v>40</v>
      </c>
    </row>
    <row r="21" spans="1:5" x14ac:dyDescent="0.25">
      <c r="A21" s="1" t="s">
        <v>41</v>
      </c>
      <c r="B21" s="11">
        <f>0.015*Baseline_CAPEX!B11</f>
        <v>59.4668925</v>
      </c>
      <c r="C21" s="10">
        <v>113</v>
      </c>
      <c r="D21" s="11">
        <f>B21/C21</f>
        <v>0.52625568584070792</v>
      </c>
      <c r="E21" t="s">
        <v>42</v>
      </c>
    </row>
    <row r="22" spans="1:5" ht="15.75" thickBot="1" x14ac:dyDescent="0.3">
      <c r="A22" s="45" t="s">
        <v>43</v>
      </c>
      <c r="B22" s="46">
        <f>0.006*Baseline_CAPEX!B11</f>
        <v>23.786757000000001</v>
      </c>
      <c r="C22" s="36">
        <v>113</v>
      </c>
      <c r="D22" s="46">
        <f>B22/C22</f>
        <v>0.21050227433628321</v>
      </c>
      <c r="E22" t="s">
        <v>44</v>
      </c>
    </row>
    <row r="23" spans="1:5" x14ac:dyDescent="0.25">
      <c r="A23" s="42" t="s">
        <v>45</v>
      </c>
      <c r="B23" s="43"/>
      <c r="C23" s="43"/>
      <c r="D23" s="47">
        <f>SUM(D20:D22)</f>
        <v>0.73675796017699113</v>
      </c>
    </row>
    <row r="24" spans="1:5" ht="15.75" thickBot="1" x14ac:dyDescent="0.3">
      <c r="A24" s="29" t="s">
        <v>46</v>
      </c>
      <c r="B24" s="30"/>
      <c r="C24" s="30"/>
      <c r="D24" s="35">
        <f>D23*113</f>
        <v>83.253649499999995</v>
      </c>
    </row>
    <row r="26" spans="1:5" x14ac:dyDescent="0.25">
      <c r="A26" s="1" t="s">
        <v>47</v>
      </c>
      <c r="B26" s="12">
        <f>Baseline_CAPEX!B14</f>
        <v>4559.1284249999999</v>
      </c>
      <c r="C26" s="1" t="s">
        <v>15</v>
      </c>
      <c r="D26" t="s">
        <v>48</v>
      </c>
    </row>
    <row r="27" spans="1:5" x14ac:dyDescent="0.25">
      <c r="A27" s="1" t="s">
        <v>75</v>
      </c>
      <c r="B27" s="1">
        <f>B26/10</f>
        <v>455.91284250000001</v>
      </c>
      <c r="C27" s="1" t="s">
        <v>49</v>
      </c>
      <c r="D27" t="s">
        <v>50</v>
      </c>
    </row>
    <row r="28" spans="1:5" x14ac:dyDescent="0.25">
      <c r="A28" s="1" t="s">
        <v>77</v>
      </c>
      <c r="B28" s="63">
        <f>B27/113</f>
        <v>4.0346269247787614</v>
      </c>
      <c r="C28" s="1" t="s">
        <v>78</v>
      </c>
    </row>
    <row r="29" spans="1:5" x14ac:dyDescent="0.25">
      <c r="A29" s="1" t="s">
        <v>51</v>
      </c>
      <c r="B29" s="12">
        <f>D17+D24</f>
        <v>5188.2920671700931</v>
      </c>
      <c r="C29" s="1" t="s">
        <v>49</v>
      </c>
    </row>
    <row r="31" spans="1:5" x14ac:dyDescent="0.25">
      <c r="A31" s="1" t="s">
        <v>52</v>
      </c>
      <c r="B31" s="17">
        <f>B29/113</f>
        <v>45.914089090000822</v>
      </c>
      <c r="C31" s="1" t="s">
        <v>53</v>
      </c>
    </row>
  </sheetData>
  <hyperlinks>
    <hyperlink ref="A5" r:id="rId1" xr:uid="{5D9C26BE-93C4-42B5-B8DF-A2BE86B50DA5}"/>
    <hyperlink ref="A15" r:id="rId2" xr:uid="{A8FD2E22-C5CE-4762-9C4B-4E64946D0DFB}"/>
    <hyperlink ref="A9" r:id="rId3" display="1 micron filter " xr:uid="{5AB04F8B-E943-4AD7-928D-8CF880D08DDC}"/>
    <hyperlink ref="A8" r:id="rId4" display="5 micron filter " xr:uid="{DA70315B-2B02-47D7-B9AF-0583750A813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Baseline_CAPEX</vt:lpstr>
      <vt:lpstr>Baseline_OPEX</vt:lpstr>
      <vt:lpstr>75%Chiller_OPEX</vt:lpstr>
      <vt:lpstr>50%Chiller_OPEX</vt:lpstr>
      <vt:lpstr>25%Chiller_OPEX</vt:lpstr>
      <vt:lpstr>5Barrel_CAPEX</vt:lpstr>
      <vt:lpstr>5Barrel_OPEX</vt:lpstr>
      <vt:lpstr>10Barrel_CAPEX</vt:lpstr>
      <vt:lpstr>10Barrel_OPEX</vt:lpstr>
      <vt:lpstr>20Barrel_CAPEX</vt:lpstr>
      <vt:lpstr>20Barrel_OPEX</vt:lpstr>
      <vt:lpstr>2GPM_OPEX</vt:lpstr>
      <vt:lpstr>0.5GPM_OPEX</vt:lpstr>
      <vt:lpstr>0.25GPM_OPEX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Alexandra B [C B E]</dc:creator>
  <cp:lastModifiedBy>Jean, Alexandra B</cp:lastModifiedBy>
  <dcterms:created xsi:type="dcterms:W3CDTF">2024-12-09T15:30:01Z</dcterms:created>
  <dcterms:modified xsi:type="dcterms:W3CDTF">2026-04-22T19:28:30Z</dcterms:modified>
</cp:coreProperties>
</file>