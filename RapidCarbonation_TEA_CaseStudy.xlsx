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06727903328/WOPIServiceId_TP_BOX_2/WOPIUserId_-/"/>
    </mc:Choice>
  </mc:AlternateContent>
  <xr:revisionPtr revIDLastSave="88" documentId="8_{47E881AD-CC63-4985-AE76-FEF9F7BD0A04}" xr6:coauthVersionLast="47" xr6:coauthVersionMax="47" xr10:uidLastSave="{C4904458-5454-43BC-81F5-93F914C0C1DC}"/>
  <bookViews>
    <workbookView xWindow="-120" yWindow="-120" windowWidth="29040" windowHeight="15840" activeTab="5" xr2:uid="{984F6916-408A-467B-8560-689465002318}"/>
  </bookViews>
  <sheets>
    <sheet name="README" sheetId="6" r:id="rId1"/>
    <sheet name="System Parameters" sheetId="2" r:id="rId2"/>
    <sheet name="BGAL CAPEX" sheetId="1" r:id="rId3"/>
    <sheet name="BGAL OPEX" sheetId="3" r:id="rId4"/>
    <sheet name="Traditional CAPEX" sheetId="4" r:id="rId5"/>
    <sheet name="Traditional OPEX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D4" i="1"/>
  <c r="D2" i="1"/>
  <c r="C5" i="3"/>
  <c r="C5" i="5"/>
  <c r="D10" i="5" l="1"/>
  <c r="D5" i="5"/>
  <c r="D15" i="3"/>
  <c r="B9" i="3"/>
  <c r="D9" i="3" s="1"/>
  <c r="B8" i="3"/>
  <c r="D8" i="3" s="1"/>
  <c r="D5" i="3"/>
  <c r="B19" i="2" l="1"/>
  <c r="B13" i="2"/>
  <c r="B2" i="2"/>
  <c r="B4" i="2"/>
  <c r="B9" i="2" s="1"/>
  <c r="B10" i="2" s="1"/>
  <c r="B20" i="2" l="1"/>
  <c r="D3" i="4" s="1"/>
  <c r="B14" i="2"/>
  <c r="D2" i="4" l="1"/>
  <c r="D4" i="4"/>
  <c r="D10" i="1"/>
  <c r="D8" i="1"/>
  <c r="D6" i="1"/>
  <c r="D7" i="1"/>
  <c r="D5" i="1"/>
  <c r="D9" i="1"/>
  <c r="D3" i="1"/>
  <c r="E2" i="4"/>
  <c r="F2" i="4"/>
  <c r="F4" i="4"/>
  <c r="E4" i="4"/>
  <c r="G4" i="4" s="1"/>
  <c r="H4" i="4" s="1"/>
  <c r="I4" i="4" s="1"/>
  <c r="E3" i="4"/>
  <c r="F3" i="4"/>
  <c r="G3" i="4" l="1"/>
  <c r="H3" i="4" s="1"/>
  <c r="I3" i="4" s="1"/>
  <c r="G2" i="4"/>
  <c r="H2" i="4" s="1"/>
  <c r="I2" i="4" s="1"/>
  <c r="E4" i="1"/>
  <c r="F4" i="1"/>
  <c r="F5" i="1"/>
  <c r="E5" i="1"/>
  <c r="F7" i="1"/>
  <c r="E7" i="1"/>
  <c r="G7" i="1" s="1"/>
  <c r="H7" i="1" s="1"/>
  <c r="I7" i="1" s="1"/>
  <c r="F2" i="1"/>
  <c r="E2" i="1"/>
  <c r="G2" i="1" s="1"/>
  <c r="F6" i="1"/>
  <c r="E6" i="1"/>
  <c r="G6" i="1" s="1"/>
  <c r="H6" i="1" s="1"/>
  <c r="I6" i="1" s="1"/>
  <c r="F8" i="1"/>
  <c r="E8" i="1"/>
  <c r="G8" i="1" s="1"/>
  <c r="H8" i="1" s="1"/>
  <c r="I8" i="1" s="1"/>
  <c r="E9" i="1"/>
  <c r="F9" i="1"/>
  <c r="F3" i="1"/>
  <c r="E3" i="1"/>
  <c r="G3" i="1" s="1"/>
  <c r="H3" i="1" s="1"/>
  <c r="I3" i="1" s="1"/>
  <c r="F10" i="1"/>
  <c r="E10" i="1"/>
  <c r="G10" i="1" s="1"/>
  <c r="H10" i="1" s="1"/>
  <c r="I10" i="1" s="1"/>
  <c r="I5" i="4" l="1"/>
  <c r="B8" i="4" s="1"/>
  <c r="B21" i="5"/>
  <c r="B22" i="5" s="1"/>
  <c r="B17" i="5"/>
  <c r="D17" i="5" s="1"/>
  <c r="B9" i="4"/>
  <c r="B11" i="4" s="1"/>
  <c r="B16" i="5"/>
  <c r="D16" i="5" s="1"/>
  <c r="B7" i="5"/>
  <c r="D7" i="5" s="1"/>
  <c r="D11" i="5" s="1"/>
  <c r="D12" i="5" s="1"/>
  <c r="G4" i="1"/>
  <c r="H4" i="1" s="1"/>
  <c r="I4" i="1" s="1"/>
  <c r="H2" i="1"/>
  <c r="I2" i="1" s="1"/>
  <c r="I11" i="1" s="1"/>
  <c r="B14" i="1" s="1"/>
  <c r="G9" i="1"/>
  <c r="H9" i="1" s="1"/>
  <c r="I9" i="1" s="1"/>
  <c r="G5" i="1"/>
  <c r="H5" i="1" s="1"/>
  <c r="I5" i="1" s="1"/>
  <c r="D18" i="5" l="1"/>
  <c r="D19" i="5" s="1"/>
  <c r="B23" i="5" s="1"/>
  <c r="B24" i="5" s="1"/>
  <c r="B15" i="1"/>
  <c r="B17" i="1" s="1"/>
  <c r="B26" i="3" s="1"/>
  <c r="B27" i="3" s="1"/>
  <c r="B12" i="3"/>
  <c r="D12" i="3" s="1"/>
  <c r="D16" i="3" s="1"/>
  <c r="D17" i="3" s="1"/>
  <c r="B21" i="3"/>
  <c r="D21" i="3" s="1"/>
  <c r="B22" i="3"/>
  <c r="D22" i="3" s="1"/>
  <c r="D23" i="3" l="1"/>
  <c r="D24" i="3" l="1"/>
  <c r="B28" i="3" s="1"/>
  <c r="B29" i="3" s="1"/>
</calcChain>
</file>

<file path=xl/sharedStrings.xml><?xml version="1.0" encoding="utf-8"?>
<sst xmlns="http://schemas.openxmlformats.org/spreadsheetml/2006/main" count="236" uniqueCount="139">
  <si>
    <t xml:space="preserve">Equipment </t>
  </si>
  <si>
    <t xml:space="preserve">Specifications </t>
  </si>
  <si>
    <t xml:space="preserve">Unit Cost </t>
  </si>
  <si>
    <t xml:space="preserve">Number </t>
  </si>
  <si>
    <t xml:space="preserve">Purchase Price </t>
  </si>
  <si>
    <t xml:space="preserve">Shipping Cost </t>
  </si>
  <si>
    <t>Delivered Cost</t>
  </si>
  <si>
    <t>Total Installed Cost</t>
  </si>
  <si>
    <t>Bright Tank</t>
  </si>
  <si>
    <t>Legend</t>
  </si>
  <si>
    <t xml:space="preserve">Pump </t>
  </si>
  <si>
    <t>3.4 GPM Peristaltic Pump - GW Kent</t>
  </si>
  <si>
    <t>Input</t>
  </si>
  <si>
    <t xml:space="preserve">Intermediate Calculations </t>
  </si>
  <si>
    <t xml:space="preserve">Pressure Regulator </t>
  </si>
  <si>
    <t xml:space="preserve">CGA 320 125 PSIG max pressure </t>
  </si>
  <si>
    <t xml:space="preserve">Results </t>
  </si>
  <si>
    <t xml:space="preserve">3-way valve </t>
  </si>
  <si>
    <t>316 SS 1" NPT</t>
  </si>
  <si>
    <t xml:space="preserve">Filter Housing </t>
  </si>
  <si>
    <t xml:space="preserve">Pureplus 10x4.5 Universal Housing </t>
  </si>
  <si>
    <t xml:space="preserve">Heat Exchanger </t>
  </si>
  <si>
    <t xml:space="preserve">Blichmann Heat Exchanger </t>
  </si>
  <si>
    <t xml:space="preserve">Nozzle </t>
  </si>
  <si>
    <t xml:space="preserve">303 SS Fogging Nozzle </t>
  </si>
  <si>
    <t xml:space="preserve">Kegging Manifold </t>
  </si>
  <si>
    <t>4-Station Keg-filling Manifold</t>
  </si>
  <si>
    <t xml:space="preserve">Flowmeter </t>
  </si>
  <si>
    <t>High Temp Flowmeter 3/4 NPT</t>
  </si>
  <si>
    <t xml:space="preserve">Total Equipment Costs </t>
  </si>
  <si>
    <t>TCI</t>
  </si>
  <si>
    <t>Fixed Capital Investment (FCI)</t>
  </si>
  <si>
    <t>USD</t>
  </si>
  <si>
    <t>Working Capital (WCI)</t>
  </si>
  <si>
    <t xml:space="preserve">USD </t>
  </si>
  <si>
    <t xml:space="preserve">15% of FCI - accounts for downtime/instillation time and stockpiling resources </t>
  </si>
  <si>
    <t xml:space="preserve">Land </t>
  </si>
  <si>
    <t xml:space="preserve">Assume brewery is already built and land was allocated to other operations </t>
  </si>
  <si>
    <t xml:space="preserve">Total Capital Investment </t>
  </si>
  <si>
    <t>System Size</t>
  </si>
  <si>
    <t>gal/yr</t>
  </si>
  <si>
    <t>barrel/yr</t>
  </si>
  <si>
    <t>Bright Tank Size</t>
  </si>
  <si>
    <t>barrel</t>
  </si>
  <si>
    <t xml:space="preserve">Operating Days </t>
  </si>
  <si>
    <t>days/yr</t>
  </si>
  <si>
    <t>gal/min</t>
  </si>
  <si>
    <t>gallons</t>
  </si>
  <si>
    <t>min</t>
  </si>
  <si>
    <t>hours</t>
  </si>
  <si>
    <t>days</t>
  </si>
  <si>
    <t>Traditional Carbonation Time</t>
  </si>
  <si>
    <t>Traditional Turnover</t>
  </si>
  <si>
    <t>Batches/year</t>
  </si>
  <si>
    <t>batches/yr</t>
  </si>
  <si>
    <t>Traditional Total Time</t>
  </si>
  <si>
    <t>days/batch</t>
  </si>
  <si>
    <t>tanks</t>
  </si>
  <si>
    <t>Traditional batches per tank</t>
  </si>
  <si>
    <t>batches/yr/tank</t>
  </si>
  <si>
    <t>Traditional bright tanks</t>
  </si>
  <si>
    <t>Instillation Cost</t>
  </si>
  <si>
    <t xml:space="preserve">Variable Costs </t>
  </si>
  <si>
    <t xml:space="preserve">Excludes labor - no additional requirements from other brewing operations </t>
  </si>
  <si>
    <t xml:space="preserve">Raw Materials </t>
  </si>
  <si>
    <t>Cost per Batch</t>
  </si>
  <si>
    <t xml:space="preserve">Notes </t>
  </si>
  <si>
    <t>Carbon Dioxide (USD/50lb tank)</t>
  </si>
  <si>
    <t xml:space="preserve">assume utilize 90% of gas before replacing </t>
  </si>
  <si>
    <t xml:space="preserve">Consumables </t>
  </si>
  <si>
    <t>5 micron filter (USD/filter)</t>
  </si>
  <si>
    <t>Assume each filter works for 10 2-bbl batches (20bbl)</t>
  </si>
  <si>
    <t>1 micron filter (USD/filter)</t>
  </si>
  <si>
    <t xml:space="preserve">Batches per year </t>
  </si>
  <si>
    <t>Maintenance (USD/year)</t>
  </si>
  <si>
    <t xml:space="preserve">2% of FCI annually </t>
  </si>
  <si>
    <t xml:space="preserve">Utilities </t>
  </si>
  <si>
    <t>Electricity (USD/kWh)</t>
  </si>
  <si>
    <t xml:space="preserve">Average commercial electricity price in Iowa </t>
  </si>
  <si>
    <t>Total Variable Costs (USD/Batch)</t>
  </si>
  <si>
    <t>Total Variable Costs (USD/Year)</t>
  </si>
  <si>
    <t>Fixed Costs</t>
  </si>
  <si>
    <t>Overhead</t>
  </si>
  <si>
    <t>no additional requirements from other brewing operations</t>
  </si>
  <si>
    <t>Local Taxes (USD/year)</t>
  </si>
  <si>
    <t>1.5% FCI</t>
  </si>
  <si>
    <t>Insurance (USD/year)</t>
  </si>
  <si>
    <t>0.6% FCI</t>
  </si>
  <si>
    <t>Total Fixed Costs (USD/Batch)</t>
  </si>
  <si>
    <t>Total Fixed Costs (USD/year)</t>
  </si>
  <si>
    <t>Capital Investment in Year 0</t>
  </si>
  <si>
    <t xml:space="preserve">100% out-of-pocket </t>
  </si>
  <si>
    <t xml:space="preserve">Annual Depreciation </t>
  </si>
  <si>
    <t xml:space="preserve">USD/year </t>
  </si>
  <si>
    <t xml:space="preserve">0% equity financity </t>
  </si>
  <si>
    <t xml:space="preserve">Annual Operating Costs </t>
  </si>
  <si>
    <t xml:space="preserve">One batch per 2 days (1hr + 1 day for kegging/cleaning/refill); Operations 340 days/year; 226 batches per year per bright tank </t>
  </si>
  <si>
    <t xml:space="preserve">One batch per 4 days (72 hrs + 1 day for kegging/cleaning/refill); Operations 340 days/year; 85 batches per year per bright tank </t>
  </si>
  <si>
    <t>Annual Depreciation</t>
  </si>
  <si>
    <t xml:space="preserve">20bbl - Blichmann </t>
  </si>
  <si>
    <t>Batch Operating Costs</t>
  </si>
  <si>
    <t>USD/batch</t>
  </si>
  <si>
    <t>hour</t>
  </si>
  <si>
    <t xml:space="preserve">Cells in the tabs are color coded acoording to: </t>
  </si>
  <si>
    <t>Tab Name</t>
  </si>
  <si>
    <t>Description</t>
  </si>
  <si>
    <t xml:space="preserve">energy assessment for baseline system: 62 gallon beer carbonated over 72h in a bubbled bright tank </t>
  </si>
  <si>
    <t>energy assessment for system utilizing an average of 75% max power demand on the chiller over 72h in a bubbled bright tank. Carbon dioxide assessment for this scenario is identical to baseline</t>
  </si>
  <si>
    <t>energy assessment for system utilizing an average of 50% max power demand on the chiller over 72h in a bubbled bright tank. Carbon dioxide assessment for this scenario is identical to baseline</t>
  </si>
  <si>
    <t>energy assessment for system utilizing an average of 25% max power demand on the chiller over 72h in a bubbled bright tank. Carbon dioxide assessment for this scenario is identical to baseline</t>
  </si>
  <si>
    <t xml:space="preserve">This file contains the data and calculations for the techno-economic assement case study contained in "Techno-economic analysis and life cycle assessment for the rapid carbonation of beer" </t>
  </si>
  <si>
    <t>System Parameters</t>
  </si>
  <si>
    <t>Traditional CAPEX</t>
  </si>
  <si>
    <t xml:space="preserve">BGAL Flowrate </t>
  </si>
  <si>
    <t>BGAL Carbonation time</t>
  </si>
  <si>
    <t>BGAL Turnover</t>
  </si>
  <si>
    <t>BGAL Total Time</t>
  </si>
  <si>
    <t>BGAL Batches per tank</t>
  </si>
  <si>
    <t>BGAL Bright Tanks</t>
  </si>
  <si>
    <t>BGAL CAPEX</t>
  </si>
  <si>
    <t>BGAL OPEX</t>
  </si>
  <si>
    <t>Traditional OPEX</t>
  </si>
  <si>
    <t xml:space="preserve">summary of the case study definition and calculations to determine number of carbonation trains required in each system configuration </t>
  </si>
  <si>
    <t>https://www.gwkent.com/peristaltic-pump-3-4-gpm.html</t>
  </si>
  <si>
    <t>https://www.blichmannengineering.com/product/20-bbl-brite-tank/</t>
  </si>
  <si>
    <t>https://www.grainger.com/category/welding/gas-equipment/gas-regulators-flowmeters/gas-regulators?attrs=Compatible+Gas+Type%7CCarbon+Dioxide&amp;filters=attrs&amp;searchQuery=co2+co2+regulator&amp;sst=4&amp;tv_optin=true</t>
  </si>
  <si>
    <t>https://www.mcmaster.com/products/three-way-valves/pipe-size~1/body-material~316-stainless-steel/</t>
  </si>
  <si>
    <t>https://www.amazon.com/PUREPLUS-Filter-Housing-Universal-Pre-Filtration/dp/B0CN6MY83H/ref=sr_1_1_sspa?crid=3IT29O6X707HO&amp;dib=eyJ2IjoiMSJ9.AgVg-n57nAmoFRQZ6BGL55Eg1OEJHOVxIMGpyHfavssN964-_Bfrja56wQdGXNHK7uCoNwIJCz6N6O19FLvNmWafKozkQwqPFjsBUliHo37t4J0uPnnkzcH0bSFNnS0yucgCxKIh5QLIJCeiGu7xos1l-ZIGp8Qc1YsJfKFB65qV8eAAIQk0N3AtpuU3TqZSR7WuJ-AtLSLnfU4F6TQVjL1RN4JJpi9cIOkqbwPenUc.4iMbA-5-hLAStOaG145eAFPoKcJ81GiGS9kMQd4wrQo&amp;dib_tag=se&amp;keywords=1%22+clear+water+filter+housing+npt&amp;qid=1722019305&amp;sprefix=1+clear+water+filter+housing+n%2Caps%2C116&amp;sr=8-1-spons&amp;sp_csd=d2lkZ2V0TmFtZT1zcF9hdGY&amp;psc=1</t>
  </si>
  <si>
    <t>https://www.blichmannengineering.com/product/pro-brewing-chiller/</t>
  </si>
  <si>
    <t>https://www.mcmaster.com/4759N14/</t>
  </si>
  <si>
    <t>https://www.stouttanks.com/keg-manifold.html</t>
  </si>
  <si>
    <t>https://www.mcmaster.com/4400K65/</t>
  </si>
  <si>
    <t>Source</t>
  </si>
  <si>
    <t>https://beveragelements.com/beverage_elements_shop/gas-cylinders-regulators/co2-cylinders/50-lb-co2-cylinder-aluminum-new/?srsltid=AfmBOooUEhMJxu4FtJ4OvRwj0okhM-yZpCFAKBAZ7a9-Y0XwB8wqs_fb</t>
  </si>
  <si>
    <t>amazon.com/Aquaboon-Micron-Water-Filter-4-5/dp/B01LZZA5S7/ref=sr_1_5?crid=1E8ZY6XXCABY4&amp;dib=eyJ2IjoiMSJ9._BKjKH2kAG-ULjYabW9-VJDcrkxBV_0zky1OYcCslTfOlqptDXlLNuBHUfcVzZolcpOyAvh1RLIV0zFSnhU9PQLnYf0QL_AwbGQUpQM4R_1Cr7Cq45wmBjWN4H7JY_qrvmKHxVO4F0-2LluxsacsK41tcawLNS8EkgM-Tdfd3mLTIxWxRiluey0Be1GUbMcxbvspxV_6hABcj-DyPZcmIE-gSfbAZmqKLk3jAvkPZAKXfubZ7eqEh4XD66k0x8BPupDrJO4uqKSLYzU936YsmCdZ3LvXh_-knPPeWW4Hvo8.E7i8aPjkAlZvEmS2Z0_EBRbtQD4Pz6iVVaOCoCcaj-k&amp;dib_tag=se&amp;keywords=4.5"+5+micron+water+filter&amp;qid=1722349567&amp;sprefix=4.5+5+micron+water+filt%2Caps%2C113&amp;sr=8-5</t>
  </si>
  <si>
    <t>https://www.amazon.com/Aquaboon-Replacement-Filtration-Compatible-HF45-10BLBK10PR/dp/B01LY0XWRU/ref=sxin_16_pa_sp_search_thematic_sspa?content-id=amzn1.sym.5439bf72-3da4-45fb-a22b-ecb711485806%3Aamzn1.sym.5439bf72-3da4-45fb-a22b-ecb711485806&amp;crid=19W291NEGWFUS&amp;cv_ct_cx=2+micron+water+filter&amp;dib=eyJ2IjoiMSJ9.HXXGQfBfoGbUWyNOL5wEQBrGPJe34qqfwoRgKAYwRjI3z_TD92ykYlW-GyLqyTvHxC1wFpj_e-qn-fZsHvNUNg.bEGe4tJmbBMmDW6foH-a0nShOzcFBw10_75meA8VSjg&amp;dib_tag=se&amp;keywords=2+micron+water+filter&amp;pd_rd_i=B01LY0XWRU&amp;pd_rd_r=32b5697f-a529-4fd2-9bda-140f0e725b94&amp;pd_rd_w=5KtSq&amp;pd_rd_wg=Aljd6&amp;pf_rd_p=5439bf72-3da4-45fb-a22b-ecb711485806&amp;pf_rd_r=6P6JBJ1T9NN1WDPYQMZH&amp;qid=1722349664&amp;sbo=RZvfv%2F%2FHxDF%2BO5021pAnSA%3D%3D&amp;sprefix=2+micron+water+filt%2Caps%2C113&amp;sr=1-4-364cf978-ce2a-480a-9bb0-bdb96faa0f61-spons&amp;sp_csd=d2lkZ2V0TmFtZT1zcF9zZWFyY2hfdGhlbWF0aWM&amp;psc=1</t>
  </si>
  <si>
    <t>https://www.eia.gov/states/IA/overview</t>
  </si>
  <si>
    <t>Quantity per 20 bbl batch</t>
  </si>
  <si>
    <t xml:space="preserve">Each tab contains the relavelnt calculations and results for the system of interest. Input parameters from inventory assessment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</si>
</sst>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2" borderId="5" xfId="0" applyFill="1" applyBorder="1"/>
    <xf numFmtId="0" fontId="0" fillId="3" borderId="5" xfId="0" applyFill="1" applyBorder="1"/>
    <xf numFmtId="2" fontId="0" fillId="3" borderId="6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2" borderId="9" xfId="0" applyFill="1" applyBorder="1"/>
    <xf numFmtId="0" fontId="0" fillId="3" borderId="9" xfId="0" applyFill="1" applyBorder="1"/>
    <xf numFmtId="2" fontId="0" fillId="3" borderId="10" xfId="0" applyNumberFormat="1" applyFill="1" applyBorder="1"/>
    <xf numFmtId="0" fontId="0" fillId="2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/>
    <xf numFmtId="0" fontId="0" fillId="2" borderId="15" xfId="0" applyFill="1" applyBorder="1"/>
    <xf numFmtId="0" fontId="0" fillId="3" borderId="15" xfId="0" applyFill="1" applyBorder="1"/>
    <xf numFmtId="2" fontId="0" fillId="3" borderId="16" xfId="0" applyNumberFormat="1" applyFill="1" applyBorder="1"/>
    <xf numFmtId="0" fontId="1" fillId="0" borderId="17" xfId="0" applyFont="1" applyBorder="1"/>
    <xf numFmtId="0" fontId="0" fillId="0" borderId="18" xfId="0" applyBorder="1"/>
    <xf numFmtId="0" fontId="1" fillId="0" borderId="18" xfId="0" applyFont="1" applyBorder="1"/>
    <xf numFmtId="2" fontId="1" fillId="4" borderId="19" xfId="0" applyNumberFormat="1" applyFont="1" applyFill="1" applyBorder="1"/>
    <xf numFmtId="2" fontId="0" fillId="3" borderId="5" xfId="0" applyNumberFormat="1" applyFill="1" applyBorder="1"/>
    <xf numFmtId="0" fontId="0" fillId="0" borderId="6" xfId="0" applyBorder="1"/>
    <xf numFmtId="2" fontId="0" fillId="3" borderId="9" xfId="0" applyNumberFormat="1" applyFill="1" applyBorder="1"/>
    <xf numFmtId="0" fontId="0" fillId="0" borderId="10" xfId="0" applyBorder="1"/>
    <xf numFmtId="0" fontId="0" fillId="0" borderId="20" xfId="0" applyBorder="1"/>
    <xf numFmtId="0" fontId="0" fillId="2" borderId="21" xfId="0" applyFill="1" applyBorder="1"/>
    <xf numFmtId="0" fontId="0" fillId="0" borderId="22" xfId="0" applyBorder="1"/>
    <xf numFmtId="0" fontId="1" fillId="0" borderId="23" xfId="0" applyFont="1" applyBorder="1"/>
    <xf numFmtId="2" fontId="1" fillId="4" borderId="24" xfId="0" applyNumberFormat="1" applyFont="1" applyFill="1" applyBorder="1"/>
    <xf numFmtId="0" fontId="1" fillId="0" borderId="25" xfId="0" applyFont="1" applyBorder="1"/>
    <xf numFmtId="0" fontId="0" fillId="0" borderId="9" xfId="0" applyBorder="1"/>
    <xf numFmtId="0" fontId="0" fillId="0" borderId="5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1" fillId="0" borderId="0" xfId="0" applyFont="1"/>
    <xf numFmtId="0" fontId="1" fillId="0" borderId="9" xfId="0" applyFont="1" applyBorder="1"/>
    <xf numFmtId="2" fontId="0" fillId="2" borderId="9" xfId="0" applyNumberFormat="1" applyFill="1" applyBorder="1"/>
    <xf numFmtId="0" fontId="2" fillId="0" borderId="0" xfId="1" applyBorder="1"/>
    <xf numFmtId="2" fontId="0" fillId="0" borderId="0" xfId="0" applyNumberFormat="1"/>
    <xf numFmtId="2" fontId="0" fillId="2" borderId="21" xfId="0" applyNumberFormat="1" applyFill="1" applyBorder="1"/>
    <xf numFmtId="2" fontId="0" fillId="3" borderId="21" xfId="0" applyNumberFormat="1" applyFill="1" applyBorder="1"/>
    <xf numFmtId="0" fontId="1" fillId="0" borderId="1" xfId="0" applyFont="1" applyBorder="1"/>
    <xf numFmtId="2" fontId="1" fillId="4" borderId="3" xfId="0" applyNumberFormat="1" applyFont="1" applyFill="1" applyBorder="1"/>
    <xf numFmtId="2" fontId="1" fillId="4" borderId="26" xfId="0" applyNumberFormat="1" applyFont="1" applyFill="1" applyBorder="1"/>
    <xf numFmtId="0" fontId="0" fillId="0" borderId="21" xfId="0" applyBorder="1"/>
    <xf numFmtId="2" fontId="0" fillId="0" borderId="9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ill="1"/>
    <xf numFmtId="0" fontId="0" fillId="0" borderId="2" xfId="0" applyFill="1" applyBorder="1"/>
    <xf numFmtId="0" fontId="0" fillId="0" borderId="0" xfId="0" applyFill="1" applyBorder="1"/>
    <xf numFmtId="0" fontId="0" fillId="0" borderId="18" xfId="0" applyFill="1" applyBorder="1"/>
    <xf numFmtId="0" fontId="0" fillId="0" borderId="9" xfId="0" applyFill="1" applyBorder="1"/>
    <xf numFmtId="0" fontId="1" fillId="0" borderId="21" xfId="0" applyFont="1" applyBorder="1"/>
    <xf numFmtId="0" fontId="0" fillId="0" borderId="27" xfId="0" applyFill="1" applyBorder="1"/>
    <xf numFmtId="0" fontId="0" fillId="2" borderId="24" xfId="0" applyFill="1" applyBorder="1"/>
    <xf numFmtId="2" fontId="0" fillId="2" borderId="24" xfId="0" applyNumberFormat="1" applyFill="1" applyBorder="1"/>
    <xf numFmtId="2" fontId="0" fillId="3" borderId="25" xfId="0" applyNumberFormat="1" applyFill="1" applyBorder="1"/>
    <xf numFmtId="0" fontId="0" fillId="0" borderId="5" xfId="0" applyFill="1" applyBorder="1"/>
    <xf numFmtId="0" fontId="0" fillId="0" borderId="1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89AC-F184-4782-9A30-00732791ACD1}">
  <dimension ref="B2:C18"/>
  <sheetViews>
    <sheetView workbookViewId="0">
      <selection activeCell="G26" sqref="G26"/>
    </sheetView>
  </sheetViews>
  <sheetFormatPr defaultRowHeight="15" x14ac:dyDescent="0.25"/>
  <cols>
    <col min="2" max="2" width="24.140625" customWidth="1"/>
    <col min="3" max="3" width="11.140625" bestFit="1" customWidth="1"/>
  </cols>
  <sheetData>
    <row r="2" spans="2:3" x14ac:dyDescent="0.25">
      <c r="B2" t="s">
        <v>110</v>
      </c>
    </row>
    <row r="4" spans="2:3" x14ac:dyDescent="0.25">
      <c r="B4" t="s">
        <v>138</v>
      </c>
    </row>
    <row r="6" spans="2:3" x14ac:dyDescent="0.25">
      <c r="B6" t="s">
        <v>103</v>
      </c>
    </row>
    <row r="7" spans="2:3" ht="15.75" thickBot="1" x14ac:dyDescent="0.3"/>
    <row r="8" spans="2:3" ht="15.75" thickBot="1" x14ac:dyDescent="0.3">
      <c r="B8" s="9" t="s">
        <v>9</v>
      </c>
    </row>
    <row r="9" spans="2:3" x14ac:dyDescent="0.25">
      <c r="B9" s="14" t="s">
        <v>12</v>
      </c>
    </row>
    <row r="10" spans="2:3" x14ac:dyDescent="0.25">
      <c r="B10" s="15" t="s">
        <v>13</v>
      </c>
    </row>
    <row r="11" spans="2:3" ht="15.75" thickBot="1" x14ac:dyDescent="0.3">
      <c r="B11" s="16" t="s">
        <v>16</v>
      </c>
    </row>
    <row r="13" spans="2:3" x14ac:dyDescent="0.25">
      <c r="B13" t="s">
        <v>104</v>
      </c>
      <c r="C13" t="s">
        <v>105</v>
      </c>
    </row>
    <row r="14" spans="2:3" x14ac:dyDescent="0.25">
      <c r="B14" t="s">
        <v>111</v>
      </c>
      <c r="C14" t="s">
        <v>122</v>
      </c>
    </row>
    <row r="15" spans="2:3" x14ac:dyDescent="0.25">
      <c r="B15" t="s">
        <v>119</v>
      </c>
      <c r="C15" t="s">
        <v>106</v>
      </c>
    </row>
    <row r="16" spans="2:3" x14ac:dyDescent="0.25">
      <c r="B16" t="s">
        <v>120</v>
      </c>
      <c r="C16" t="s">
        <v>107</v>
      </c>
    </row>
    <row r="17" spans="2:3" x14ac:dyDescent="0.25">
      <c r="B17" t="s">
        <v>112</v>
      </c>
      <c r="C17" t="s">
        <v>108</v>
      </c>
    </row>
    <row r="18" spans="2:3" x14ac:dyDescent="0.25">
      <c r="B18" t="s">
        <v>121</v>
      </c>
      <c r="C18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F60C-232A-454B-B58B-787E13BF5015}">
  <dimension ref="A1:C20"/>
  <sheetViews>
    <sheetView workbookViewId="0">
      <selection activeCell="I30" sqref="I30"/>
    </sheetView>
  </sheetViews>
  <sheetFormatPr defaultRowHeight="15" x14ac:dyDescent="0.25"/>
  <cols>
    <col min="1" max="1" width="27.42578125" bestFit="1" customWidth="1"/>
    <col min="3" max="3" width="15" bestFit="1" customWidth="1"/>
  </cols>
  <sheetData>
    <row r="1" spans="1:3" x14ac:dyDescent="0.25">
      <c r="A1" s="5" t="s">
        <v>39</v>
      </c>
      <c r="B1" s="36">
        <v>15000</v>
      </c>
      <c r="C1" s="26" t="s">
        <v>41</v>
      </c>
    </row>
    <row r="2" spans="1:3" x14ac:dyDescent="0.25">
      <c r="A2" s="10"/>
      <c r="B2" s="35">
        <f>B1*31</f>
        <v>465000</v>
      </c>
      <c r="C2" s="28" t="s">
        <v>40</v>
      </c>
    </row>
    <row r="3" spans="1:3" x14ac:dyDescent="0.25">
      <c r="A3" s="10" t="s">
        <v>42</v>
      </c>
      <c r="B3" s="35">
        <v>20</v>
      </c>
      <c r="C3" s="28" t="s">
        <v>43</v>
      </c>
    </row>
    <row r="4" spans="1:3" x14ac:dyDescent="0.25">
      <c r="A4" s="10"/>
      <c r="B4" s="35">
        <f>B3*31</f>
        <v>620</v>
      </c>
      <c r="C4" s="28" t="s">
        <v>47</v>
      </c>
    </row>
    <row r="5" spans="1:3" x14ac:dyDescent="0.25">
      <c r="A5" s="10" t="s">
        <v>44</v>
      </c>
      <c r="B5" s="35">
        <v>340</v>
      </c>
      <c r="C5" s="28" t="s">
        <v>45</v>
      </c>
    </row>
    <row r="6" spans="1:3" ht="15.75" thickBot="1" x14ac:dyDescent="0.3">
      <c r="A6" s="17" t="s">
        <v>53</v>
      </c>
      <c r="B6" s="37">
        <f>B1/B3</f>
        <v>750</v>
      </c>
      <c r="C6" s="38" t="s">
        <v>54</v>
      </c>
    </row>
    <row r="7" spans="1:3" ht="15.75" thickBot="1" x14ac:dyDescent="0.3"/>
    <row r="8" spans="1:3" x14ac:dyDescent="0.25">
      <c r="A8" s="5" t="s">
        <v>113</v>
      </c>
      <c r="B8" s="36">
        <v>1</v>
      </c>
      <c r="C8" s="26" t="s">
        <v>46</v>
      </c>
    </row>
    <row r="9" spans="1:3" x14ac:dyDescent="0.25">
      <c r="A9" s="10" t="s">
        <v>114</v>
      </c>
      <c r="B9" s="35">
        <f>B4/B8</f>
        <v>620</v>
      </c>
      <c r="C9" s="28" t="s">
        <v>48</v>
      </c>
    </row>
    <row r="10" spans="1:3" x14ac:dyDescent="0.25">
      <c r="A10" s="10"/>
      <c r="B10" s="35">
        <f>ROUND(B9/60,2)</f>
        <v>10.33</v>
      </c>
      <c r="C10" s="28" t="s">
        <v>49</v>
      </c>
    </row>
    <row r="11" spans="1:3" x14ac:dyDescent="0.25">
      <c r="A11" s="10" t="s">
        <v>115</v>
      </c>
      <c r="B11" s="35">
        <v>1</v>
      </c>
      <c r="C11" s="28" t="s">
        <v>49</v>
      </c>
    </row>
    <row r="12" spans="1:3" x14ac:dyDescent="0.25">
      <c r="A12" s="10" t="s">
        <v>116</v>
      </c>
      <c r="B12" s="35">
        <v>1</v>
      </c>
      <c r="C12" s="28" t="s">
        <v>56</v>
      </c>
    </row>
    <row r="13" spans="1:3" x14ac:dyDescent="0.25">
      <c r="A13" s="10" t="s">
        <v>117</v>
      </c>
      <c r="B13" s="35">
        <f>ROUNDDOWN(B5/B12,0)</f>
        <v>340</v>
      </c>
      <c r="C13" s="28" t="s">
        <v>59</v>
      </c>
    </row>
    <row r="14" spans="1:3" ht="15.75" thickBot="1" x14ac:dyDescent="0.3">
      <c r="A14" s="17" t="s">
        <v>118</v>
      </c>
      <c r="B14" s="37">
        <f>ROUNDUP(B6/B13,0)</f>
        <v>3</v>
      </c>
      <c r="C14" s="38" t="s">
        <v>57</v>
      </c>
    </row>
    <row r="15" spans="1:3" ht="15.75" thickBot="1" x14ac:dyDescent="0.3"/>
    <row r="16" spans="1:3" x14ac:dyDescent="0.25">
      <c r="A16" s="5" t="s">
        <v>51</v>
      </c>
      <c r="B16" s="36">
        <v>3</v>
      </c>
      <c r="C16" s="26" t="s">
        <v>50</v>
      </c>
    </row>
    <row r="17" spans="1:3" x14ac:dyDescent="0.25">
      <c r="A17" s="10" t="s">
        <v>52</v>
      </c>
      <c r="B17" s="35">
        <v>1</v>
      </c>
      <c r="C17" s="28" t="s">
        <v>102</v>
      </c>
    </row>
    <row r="18" spans="1:3" x14ac:dyDescent="0.25">
      <c r="A18" s="10" t="s">
        <v>55</v>
      </c>
      <c r="B18" s="35">
        <v>3</v>
      </c>
      <c r="C18" s="28" t="s">
        <v>56</v>
      </c>
    </row>
    <row r="19" spans="1:3" x14ac:dyDescent="0.25">
      <c r="A19" s="10" t="s">
        <v>58</v>
      </c>
      <c r="B19" s="35">
        <f>B5/B18</f>
        <v>113.33333333333333</v>
      </c>
      <c r="C19" s="28" t="s">
        <v>59</v>
      </c>
    </row>
    <row r="20" spans="1:3" ht="15.75" thickBot="1" x14ac:dyDescent="0.3">
      <c r="A20" s="17" t="s">
        <v>60</v>
      </c>
      <c r="B20" s="37">
        <f>ROUNDUP(B6/B19,0)</f>
        <v>7</v>
      </c>
      <c r="C20" s="3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4D98-AAD0-4448-A888-761A8006945E}">
  <dimension ref="A1:N17"/>
  <sheetViews>
    <sheetView workbookViewId="0">
      <selection activeCell="F25" sqref="F25"/>
    </sheetView>
  </sheetViews>
  <sheetFormatPr defaultRowHeight="15" x14ac:dyDescent="0.25"/>
  <cols>
    <col min="1" max="1" width="27.42578125" bestFit="1" customWidth="1"/>
    <col min="2" max="2" width="32.42578125" bestFit="1" customWidth="1"/>
    <col min="3" max="3" width="8" bestFit="1" customWidth="1"/>
    <col min="4" max="4" width="8.42578125" customWidth="1"/>
    <col min="5" max="5" width="14.42578125" bestFit="1" customWidth="1"/>
    <col min="6" max="6" width="13.7109375" bestFit="1" customWidth="1"/>
    <col min="7" max="7" width="14.7109375" customWidth="1"/>
    <col min="8" max="8" width="15.28515625" bestFit="1" customWidth="1"/>
    <col min="9" max="9" width="13.85546875" bestFit="1" customWidth="1"/>
    <col min="14" max="14" width="24.5703125" bestFit="1" customWidth="1"/>
  </cols>
  <sheetData>
    <row r="1" spans="1:14" s="4" customFormat="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61</v>
      </c>
      <c r="I1" s="3" t="s">
        <v>7</v>
      </c>
      <c r="J1" s="55" t="s">
        <v>132</v>
      </c>
    </row>
    <row r="2" spans="1:14" ht="15.75" thickBot="1" x14ac:dyDescent="0.3">
      <c r="A2" s="5" t="s">
        <v>8</v>
      </c>
      <c r="B2" s="57" t="s">
        <v>99</v>
      </c>
      <c r="C2" s="6">
        <v>13500</v>
      </c>
      <c r="D2" s="6">
        <f>'System Parameters'!$B$14</f>
        <v>3</v>
      </c>
      <c r="E2" s="7">
        <f>C2*D2</f>
        <v>40500</v>
      </c>
      <c r="F2" s="6">
        <f>500*D2/2</f>
        <v>750</v>
      </c>
      <c r="G2" s="7">
        <f>E2+F2</f>
        <v>41250</v>
      </c>
      <c r="H2" s="7">
        <f>G2*0.45</f>
        <v>18562.5</v>
      </c>
      <c r="I2" s="8">
        <f>G2+H2</f>
        <v>59812.5</v>
      </c>
      <c r="J2" t="s">
        <v>124</v>
      </c>
      <c r="N2" s="9" t="s">
        <v>9</v>
      </c>
    </row>
    <row r="3" spans="1:14" x14ac:dyDescent="0.25">
      <c r="A3" s="10" t="s">
        <v>10</v>
      </c>
      <c r="B3" s="58" t="s">
        <v>11</v>
      </c>
      <c r="C3" s="11">
        <v>3558.65</v>
      </c>
      <c r="D3" s="11">
        <f>'System Parameters'!$B$14</f>
        <v>3</v>
      </c>
      <c r="E3" s="12">
        <f t="shared" ref="E3:E10" si="0">C3*D3</f>
        <v>10675.95</v>
      </c>
      <c r="F3" s="11">
        <f t="shared" ref="F3:F10" si="1">500*D3/2</f>
        <v>750</v>
      </c>
      <c r="G3" s="12">
        <f t="shared" ref="G3:G10" si="2">E3+F3</f>
        <v>11425.95</v>
      </c>
      <c r="H3" s="12">
        <f t="shared" ref="H3:H10" si="3">G3*0.45</f>
        <v>5141.6775000000007</v>
      </c>
      <c r="I3" s="13">
        <f t="shared" ref="I3:I10" si="4">G3+H3</f>
        <v>16567.627500000002</v>
      </c>
      <c r="J3" t="s">
        <v>123</v>
      </c>
      <c r="N3" s="14" t="s">
        <v>12</v>
      </c>
    </row>
    <row r="4" spans="1:14" x14ac:dyDescent="0.25">
      <c r="A4" s="10" t="s">
        <v>14</v>
      </c>
      <c r="B4" s="58" t="s">
        <v>15</v>
      </c>
      <c r="C4" s="11">
        <v>472.93</v>
      </c>
      <c r="D4" s="11">
        <f>'System Parameters'!$B$14</f>
        <v>3</v>
      </c>
      <c r="E4" s="12">
        <f t="shared" si="0"/>
        <v>1418.79</v>
      </c>
      <c r="F4" s="11">
        <f t="shared" si="1"/>
        <v>750</v>
      </c>
      <c r="G4" s="12">
        <f t="shared" si="2"/>
        <v>2168.79</v>
      </c>
      <c r="H4" s="12">
        <f t="shared" si="3"/>
        <v>975.95550000000003</v>
      </c>
      <c r="I4" s="13">
        <f t="shared" si="4"/>
        <v>3144.7455</v>
      </c>
      <c r="J4" t="s">
        <v>125</v>
      </c>
      <c r="N4" s="15" t="s">
        <v>13</v>
      </c>
    </row>
    <row r="5" spans="1:14" ht="15.75" thickBot="1" x14ac:dyDescent="0.3">
      <c r="A5" s="10" t="s">
        <v>17</v>
      </c>
      <c r="B5" s="58" t="s">
        <v>18</v>
      </c>
      <c r="C5" s="11">
        <v>343.8</v>
      </c>
      <c r="D5" s="11">
        <f>'System Parameters'!$B$14*2</f>
        <v>6</v>
      </c>
      <c r="E5" s="12">
        <f t="shared" si="0"/>
        <v>2062.8000000000002</v>
      </c>
      <c r="F5" s="11">
        <f t="shared" si="1"/>
        <v>1500</v>
      </c>
      <c r="G5" s="12">
        <f t="shared" si="2"/>
        <v>3562.8</v>
      </c>
      <c r="H5" s="12">
        <f t="shared" si="3"/>
        <v>1603.2600000000002</v>
      </c>
      <c r="I5" s="13">
        <f t="shared" si="4"/>
        <v>5166.0600000000004</v>
      </c>
      <c r="J5" t="s">
        <v>126</v>
      </c>
      <c r="N5" s="16" t="s">
        <v>16</v>
      </c>
    </row>
    <row r="6" spans="1:14" x14ac:dyDescent="0.25">
      <c r="A6" s="10" t="s">
        <v>19</v>
      </c>
      <c r="B6" s="58" t="s">
        <v>20</v>
      </c>
      <c r="C6" s="11">
        <v>51.99</v>
      </c>
      <c r="D6" s="11">
        <f>'System Parameters'!$B$14*4</f>
        <v>12</v>
      </c>
      <c r="E6" s="12">
        <f t="shared" si="0"/>
        <v>623.88</v>
      </c>
      <c r="F6" s="11">
        <f t="shared" si="1"/>
        <v>3000</v>
      </c>
      <c r="G6" s="12">
        <f t="shared" si="2"/>
        <v>3623.88</v>
      </c>
      <c r="H6" s="12">
        <f t="shared" si="3"/>
        <v>1630.7460000000001</v>
      </c>
      <c r="I6" s="13">
        <f t="shared" si="4"/>
        <v>5254.6260000000002</v>
      </c>
      <c r="J6" t="s">
        <v>127</v>
      </c>
    </row>
    <row r="7" spans="1:14" x14ac:dyDescent="0.25">
      <c r="A7" s="10" t="s">
        <v>21</v>
      </c>
      <c r="B7" s="58" t="s">
        <v>22</v>
      </c>
      <c r="C7" s="11">
        <v>592.99</v>
      </c>
      <c r="D7" s="11">
        <f>'System Parameters'!$B$14</f>
        <v>3</v>
      </c>
      <c r="E7" s="12">
        <f t="shared" si="0"/>
        <v>1778.97</v>
      </c>
      <c r="F7" s="11">
        <f t="shared" si="1"/>
        <v>750</v>
      </c>
      <c r="G7" s="12">
        <f t="shared" si="2"/>
        <v>2528.9700000000003</v>
      </c>
      <c r="H7" s="12">
        <f t="shared" si="3"/>
        <v>1138.0365000000002</v>
      </c>
      <c r="I7" s="13">
        <f t="shared" si="4"/>
        <v>3667.0065000000004</v>
      </c>
      <c r="J7" t="s">
        <v>128</v>
      </c>
    </row>
    <row r="8" spans="1:14" x14ac:dyDescent="0.25">
      <c r="A8" s="10" t="s">
        <v>23</v>
      </c>
      <c r="B8" s="58" t="s">
        <v>24</v>
      </c>
      <c r="C8" s="11">
        <v>60.43</v>
      </c>
      <c r="D8" s="11">
        <f>'System Parameters'!$B$14*2</f>
        <v>6</v>
      </c>
      <c r="E8" s="12">
        <f t="shared" si="0"/>
        <v>362.58</v>
      </c>
      <c r="F8" s="11">
        <f t="shared" si="1"/>
        <v>1500</v>
      </c>
      <c r="G8" s="12">
        <f t="shared" si="2"/>
        <v>1862.58</v>
      </c>
      <c r="H8" s="12">
        <f t="shared" si="3"/>
        <v>838.16099999999994</v>
      </c>
      <c r="I8" s="13">
        <f t="shared" si="4"/>
        <v>2700.741</v>
      </c>
      <c r="J8" t="s">
        <v>129</v>
      </c>
    </row>
    <row r="9" spans="1:14" x14ac:dyDescent="0.25">
      <c r="A9" s="10" t="s">
        <v>25</v>
      </c>
      <c r="B9" s="58" t="s">
        <v>26</v>
      </c>
      <c r="C9" s="11">
        <v>482</v>
      </c>
      <c r="D9" s="11">
        <f>'System Parameters'!$B$14</f>
        <v>3</v>
      </c>
      <c r="E9" s="12">
        <f t="shared" si="0"/>
        <v>1446</v>
      </c>
      <c r="F9" s="11">
        <f t="shared" si="1"/>
        <v>750</v>
      </c>
      <c r="G9" s="12">
        <f t="shared" si="2"/>
        <v>2196</v>
      </c>
      <c r="H9" s="12">
        <f t="shared" si="3"/>
        <v>988.2</v>
      </c>
      <c r="I9" s="13">
        <f t="shared" si="4"/>
        <v>3184.2</v>
      </c>
      <c r="J9" t="s">
        <v>130</v>
      </c>
    </row>
    <row r="10" spans="1:14" ht="15.75" thickBot="1" x14ac:dyDescent="0.3">
      <c r="A10" s="17" t="s">
        <v>27</v>
      </c>
      <c r="B10" s="59" t="s">
        <v>28</v>
      </c>
      <c r="C10" s="18">
        <v>148.85</v>
      </c>
      <c r="D10" s="18">
        <f>'System Parameters'!$B$14*2</f>
        <v>6</v>
      </c>
      <c r="E10" s="19">
        <f t="shared" si="0"/>
        <v>893.09999999999991</v>
      </c>
      <c r="F10" s="18">
        <f t="shared" si="1"/>
        <v>1500</v>
      </c>
      <c r="G10" s="19">
        <f t="shared" si="2"/>
        <v>2393.1</v>
      </c>
      <c r="H10" s="19">
        <f t="shared" si="3"/>
        <v>1076.895</v>
      </c>
      <c r="I10" s="20">
        <f t="shared" si="4"/>
        <v>3469.9949999999999</v>
      </c>
      <c r="J10" t="s">
        <v>131</v>
      </c>
    </row>
    <row r="11" spans="1:14" ht="15.75" thickBot="1" x14ac:dyDescent="0.3">
      <c r="A11" s="21" t="s">
        <v>29</v>
      </c>
      <c r="B11" s="22"/>
      <c r="C11" s="22"/>
      <c r="D11" s="22"/>
      <c r="E11" s="23"/>
      <c r="F11" s="23"/>
      <c r="G11" s="23"/>
      <c r="H11" s="22"/>
      <c r="I11" s="24">
        <f>SUM(I2:I10)</f>
        <v>102967.5015</v>
      </c>
    </row>
    <row r="12" spans="1:14" ht="15.75" thickBot="1" x14ac:dyDescent="0.3"/>
    <row r="13" spans="1:14" ht="15.75" thickBot="1" x14ac:dyDescent="0.3">
      <c r="A13" s="52" t="s">
        <v>30</v>
      </c>
      <c r="B13" s="53"/>
      <c r="C13" s="54"/>
    </row>
    <row r="14" spans="1:14" x14ac:dyDescent="0.25">
      <c r="A14" s="5" t="s">
        <v>31</v>
      </c>
      <c r="B14" s="25">
        <f>I11</f>
        <v>102967.5015</v>
      </c>
      <c r="C14" s="26" t="s">
        <v>32</v>
      </c>
    </row>
    <row r="15" spans="1:14" x14ac:dyDescent="0.25">
      <c r="A15" s="10" t="s">
        <v>33</v>
      </c>
      <c r="B15" s="27">
        <f>B14*0.15</f>
        <v>15445.125225</v>
      </c>
      <c r="C15" s="28" t="s">
        <v>34</v>
      </c>
      <c r="D15" t="s">
        <v>35</v>
      </c>
    </row>
    <row r="16" spans="1:14" ht="15.75" thickBot="1" x14ac:dyDescent="0.3">
      <c r="A16" s="29" t="s">
        <v>36</v>
      </c>
      <c r="B16" s="30">
        <v>0</v>
      </c>
      <c r="C16" s="31" t="s">
        <v>32</v>
      </c>
      <c r="D16" t="s">
        <v>37</v>
      </c>
    </row>
    <row r="17" spans="1:3" ht="15.75" thickBot="1" x14ac:dyDescent="0.3">
      <c r="A17" s="32" t="s">
        <v>38</v>
      </c>
      <c r="B17" s="33">
        <f>SUM(B14:B16)</f>
        <v>118412.62672499999</v>
      </c>
      <c r="C17" s="34" t="s">
        <v>32</v>
      </c>
    </row>
  </sheetData>
  <mergeCells count="1">
    <mergeCell ref="A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748B-8E5A-4D60-B53F-82DD4902FEA5}">
  <dimension ref="A1:F29"/>
  <sheetViews>
    <sheetView workbookViewId="0">
      <selection activeCell="B33" sqref="B33"/>
    </sheetView>
  </sheetViews>
  <sheetFormatPr defaultRowHeight="15" x14ac:dyDescent="0.25"/>
  <cols>
    <col min="1" max="1" width="31" bestFit="1" customWidth="1"/>
    <col min="2" max="2" width="9.5703125" customWidth="1"/>
    <col min="3" max="3" width="23.28515625" bestFit="1" customWidth="1"/>
    <col min="4" max="4" width="18.5703125" bestFit="1" customWidth="1"/>
    <col min="5" max="5" width="53.42578125" bestFit="1" customWidth="1"/>
  </cols>
  <sheetData>
    <row r="1" spans="1:6" x14ac:dyDescent="0.25">
      <c r="A1" s="40" t="s">
        <v>62</v>
      </c>
      <c r="B1" t="s">
        <v>63</v>
      </c>
    </row>
    <row r="2" spans="1:6" x14ac:dyDescent="0.25">
      <c r="A2" s="40"/>
      <c r="B2" t="s">
        <v>96</v>
      </c>
    </row>
    <row r="4" spans="1:6" x14ac:dyDescent="0.25">
      <c r="A4" s="41" t="s">
        <v>64</v>
      </c>
      <c r="B4" s="35" t="s">
        <v>2</v>
      </c>
      <c r="C4" s="35" t="s">
        <v>137</v>
      </c>
      <c r="D4" s="35" t="s">
        <v>65</v>
      </c>
      <c r="E4" t="s">
        <v>66</v>
      </c>
      <c r="F4" t="s">
        <v>132</v>
      </c>
    </row>
    <row r="5" spans="1:6" x14ac:dyDescent="0.25">
      <c r="A5" s="60" t="s">
        <v>67</v>
      </c>
      <c r="B5" s="11">
        <v>400</v>
      </c>
      <c r="C5" s="42">
        <f>21.19/(22.7*0.9)</f>
        <v>1.0372001957905042</v>
      </c>
      <c r="D5" s="27">
        <f>B5*C5</f>
        <v>414.88007831620166</v>
      </c>
      <c r="E5" t="s">
        <v>68</v>
      </c>
      <c r="F5" t="s">
        <v>133</v>
      </c>
    </row>
    <row r="6" spans="1:6" x14ac:dyDescent="0.25">
      <c r="A6" s="43"/>
      <c r="C6" s="44"/>
      <c r="D6" s="44"/>
    </row>
    <row r="7" spans="1:6" x14ac:dyDescent="0.25">
      <c r="A7" s="41" t="s">
        <v>69</v>
      </c>
      <c r="B7" s="35" t="s">
        <v>2</v>
      </c>
      <c r="C7" s="35" t="s">
        <v>137</v>
      </c>
      <c r="D7" s="35" t="s">
        <v>65</v>
      </c>
      <c r="E7" t="s">
        <v>66</v>
      </c>
    </row>
    <row r="8" spans="1:6" x14ac:dyDescent="0.25">
      <c r="A8" s="60" t="s">
        <v>70</v>
      </c>
      <c r="B8" s="42">
        <f>131.8/20</f>
        <v>6.5900000000000007</v>
      </c>
      <c r="C8" s="11">
        <v>1</v>
      </c>
      <c r="D8" s="27">
        <f>B8*C8</f>
        <v>6.5900000000000007</v>
      </c>
      <c r="E8" t="s">
        <v>71</v>
      </c>
      <c r="F8" t="s">
        <v>134</v>
      </c>
    </row>
    <row r="9" spans="1:6" x14ac:dyDescent="0.25">
      <c r="A9" s="60" t="s">
        <v>72</v>
      </c>
      <c r="B9" s="42">
        <f>133.2/20</f>
        <v>6.6599999999999993</v>
      </c>
      <c r="C9" s="11">
        <v>1</v>
      </c>
      <c r="D9" s="27">
        <f>B9*C9</f>
        <v>6.6599999999999993</v>
      </c>
      <c r="F9" t="s">
        <v>135</v>
      </c>
    </row>
    <row r="10" spans="1:6" x14ac:dyDescent="0.25">
      <c r="A10" s="43"/>
      <c r="C10" s="44"/>
      <c r="D10" s="44"/>
    </row>
    <row r="11" spans="1:6" x14ac:dyDescent="0.25">
      <c r="B11" s="44"/>
      <c r="C11" s="44" t="s">
        <v>73</v>
      </c>
    </row>
    <row r="12" spans="1:6" x14ac:dyDescent="0.25">
      <c r="A12" s="41" t="s">
        <v>74</v>
      </c>
      <c r="B12" s="42">
        <f>0.02*'BGAL CAPEX'!B14</f>
        <v>2059.3500300000001</v>
      </c>
      <c r="C12" s="11">
        <v>750</v>
      </c>
      <c r="D12" s="27">
        <f>B12/C12</f>
        <v>2.7458000400000002</v>
      </c>
      <c r="E12" t="s">
        <v>75</v>
      </c>
    </row>
    <row r="13" spans="1:6" x14ac:dyDescent="0.25">
      <c r="A13" s="40"/>
    </row>
    <row r="14" spans="1:6" ht="15.75" thickBot="1" x14ac:dyDescent="0.3">
      <c r="A14" s="61" t="s">
        <v>76</v>
      </c>
      <c r="B14" s="50" t="s">
        <v>2</v>
      </c>
      <c r="C14" s="50" t="s">
        <v>137</v>
      </c>
      <c r="D14" s="50"/>
    </row>
    <row r="15" spans="1:6" ht="15.75" thickBot="1" x14ac:dyDescent="0.3">
      <c r="A15" s="62" t="s">
        <v>77</v>
      </c>
      <c r="B15" s="63">
        <v>0.1149</v>
      </c>
      <c r="C15" s="64">
        <v>36.200000000000003</v>
      </c>
      <c r="D15" s="65">
        <f>B15*C15</f>
        <v>4.1593800000000005</v>
      </c>
      <c r="E15" t="s">
        <v>78</v>
      </c>
      <c r="F15" t="s">
        <v>136</v>
      </c>
    </row>
    <row r="16" spans="1:6" x14ac:dyDescent="0.25">
      <c r="A16" s="47" t="s">
        <v>79</v>
      </c>
      <c r="B16" s="39"/>
      <c r="C16" s="39"/>
      <c r="D16" s="48">
        <f>SUM(D5:D15)</f>
        <v>435.03525835620167</v>
      </c>
    </row>
    <row r="17" spans="1:5" ht="15.75" thickBot="1" x14ac:dyDescent="0.3">
      <c r="A17" s="21" t="s">
        <v>80</v>
      </c>
      <c r="B17" s="22"/>
      <c r="C17" s="22"/>
      <c r="D17" s="49">
        <f>D16*750</f>
        <v>326276.44376715127</v>
      </c>
    </row>
    <row r="19" spans="1:5" x14ac:dyDescent="0.25">
      <c r="A19" s="40" t="s">
        <v>81</v>
      </c>
      <c r="C19" s="44" t="s">
        <v>73</v>
      </c>
    </row>
    <row r="20" spans="1:5" x14ac:dyDescent="0.25">
      <c r="A20" s="35" t="s">
        <v>82</v>
      </c>
      <c r="B20" s="35">
        <v>0</v>
      </c>
      <c r="C20" s="35">
        <v>0</v>
      </c>
      <c r="D20" s="35">
        <v>0</v>
      </c>
      <c r="E20" t="s">
        <v>83</v>
      </c>
    </row>
    <row r="21" spans="1:5" x14ac:dyDescent="0.25">
      <c r="A21" s="35" t="s">
        <v>84</v>
      </c>
      <c r="B21" s="27">
        <f>0.015*'BGAL CAPEX'!B14</f>
        <v>1544.5125224999999</v>
      </c>
      <c r="C21" s="11">
        <v>750</v>
      </c>
      <c r="D21" s="27">
        <f>B21/C21</f>
        <v>2.0593500300000001</v>
      </c>
      <c r="E21" t="s">
        <v>85</v>
      </c>
    </row>
    <row r="22" spans="1:5" ht="15.75" thickBot="1" x14ac:dyDescent="0.3">
      <c r="A22" s="50" t="s">
        <v>86</v>
      </c>
      <c r="B22" s="46">
        <f>0.006*'BGAL CAPEX'!B14</f>
        <v>617.80500900000004</v>
      </c>
      <c r="C22" s="30">
        <v>750</v>
      </c>
      <c r="D22" s="46">
        <f>B22/C22</f>
        <v>0.82374001200000002</v>
      </c>
      <c r="E22" t="s">
        <v>87</v>
      </c>
    </row>
    <row r="23" spans="1:5" x14ac:dyDescent="0.25">
      <c r="A23" s="47" t="s">
        <v>88</v>
      </c>
      <c r="B23" s="39"/>
      <c r="C23" s="39"/>
      <c r="D23" s="48">
        <f>SUM(D20:D22)</f>
        <v>2.8830900420000001</v>
      </c>
    </row>
    <row r="24" spans="1:5" ht="15.75" thickBot="1" x14ac:dyDescent="0.3">
      <c r="A24" s="21" t="s">
        <v>89</v>
      </c>
      <c r="B24" s="22"/>
      <c r="C24" s="22"/>
      <c r="D24" s="49">
        <f>D23*750</f>
        <v>2162.3175314999999</v>
      </c>
    </row>
    <row r="26" spans="1:5" x14ac:dyDescent="0.25">
      <c r="A26" s="35" t="s">
        <v>90</v>
      </c>
      <c r="B26" s="51">
        <f>'BGAL CAPEX'!B17</f>
        <v>118412.62672499999</v>
      </c>
      <c r="C26" s="35" t="s">
        <v>32</v>
      </c>
      <c r="D26" t="s">
        <v>91</v>
      </c>
    </row>
    <row r="27" spans="1:5" x14ac:dyDescent="0.25">
      <c r="A27" s="35" t="s">
        <v>92</v>
      </c>
      <c r="B27" s="35">
        <f>B26/10</f>
        <v>11841.262672499999</v>
      </c>
      <c r="C27" s="35" t="s">
        <v>93</v>
      </c>
      <c r="D27" t="s">
        <v>94</v>
      </c>
    </row>
    <row r="28" spans="1:5" x14ac:dyDescent="0.25">
      <c r="A28" s="35" t="s">
        <v>95</v>
      </c>
      <c r="B28" s="51">
        <f>D17+D24</f>
        <v>328438.76129865128</v>
      </c>
      <c r="C28" s="35" t="s">
        <v>93</v>
      </c>
    </row>
    <row r="29" spans="1:5" x14ac:dyDescent="0.25">
      <c r="A29" t="s">
        <v>100</v>
      </c>
      <c r="B29">
        <f>B28/750</f>
        <v>437.91834839820172</v>
      </c>
      <c r="C29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A0A9-79DC-4756-84E8-66F2FC3080E8}">
  <dimension ref="A1:N11"/>
  <sheetViews>
    <sheetView workbookViewId="0">
      <selection activeCell="J25" sqref="J25"/>
    </sheetView>
  </sheetViews>
  <sheetFormatPr defaultRowHeight="15" x14ac:dyDescent="0.25"/>
  <cols>
    <col min="1" max="1" width="27.42578125" bestFit="1" customWidth="1"/>
    <col min="2" max="2" width="32.42578125" bestFit="1" customWidth="1"/>
    <col min="3" max="3" width="8" bestFit="1" customWidth="1"/>
    <col min="4" max="4" width="8.42578125" customWidth="1"/>
    <col min="5" max="5" width="14.42578125" bestFit="1" customWidth="1"/>
    <col min="6" max="6" width="13.7109375" bestFit="1" customWidth="1"/>
    <col min="7" max="7" width="14.7109375" customWidth="1"/>
    <col min="8" max="8" width="15.28515625" bestFit="1" customWidth="1"/>
    <col min="9" max="9" width="13.85546875" bestFit="1" customWidth="1"/>
    <col min="10" max="10" width="11.140625" customWidth="1"/>
    <col min="14" max="14" width="24.5703125" bestFit="1" customWidth="1"/>
  </cols>
  <sheetData>
    <row r="1" spans="1:14" s="4" customFormat="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61</v>
      </c>
      <c r="I1" s="3" t="s">
        <v>7</v>
      </c>
      <c r="J1" s="55" t="s">
        <v>132</v>
      </c>
    </row>
    <row r="2" spans="1:14" ht="15.75" thickBot="1" x14ac:dyDescent="0.3">
      <c r="A2" s="5" t="s">
        <v>8</v>
      </c>
      <c r="B2" s="66" t="s">
        <v>99</v>
      </c>
      <c r="C2" s="6">
        <v>13500</v>
      </c>
      <c r="D2" s="6">
        <f>'System Parameters'!$B$20</f>
        <v>7</v>
      </c>
      <c r="E2" s="7">
        <f>C2*D2</f>
        <v>94500</v>
      </c>
      <c r="F2" s="6">
        <f>500*D2/2</f>
        <v>1750</v>
      </c>
      <c r="G2" s="7">
        <f>E2+F2</f>
        <v>96250</v>
      </c>
      <c r="H2" s="7">
        <f>G2*0.45</f>
        <v>43312.5</v>
      </c>
      <c r="I2" s="8">
        <f>G2+H2</f>
        <v>139562.5</v>
      </c>
      <c r="J2" t="s">
        <v>124</v>
      </c>
      <c r="N2" s="9" t="s">
        <v>9</v>
      </c>
    </row>
    <row r="3" spans="1:14" x14ac:dyDescent="0.25">
      <c r="A3" s="10" t="s">
        <v>10</v>
      </c>
      <c r="B3" s="60" t="s">
        <v>11</v>
      </c>
      <c r="C3" s="11">
        <v>3558.65</v>
      </c>
      <c r="D3" s="11">
        <f>'System Parameters'!$B$20</f>
        <v>7</v>
      </c>
      <c r="E3" s="12">
        <f t="shared" ref="E3:E4" si="0">C3*D3</f>
        <v>24910.55</v>
      </c>
      <c r="F3" s="11">
        <f t="shared" ref="F3:F4" si="1">500*D3/2</f>
        <v>1750</v>
      </c>
      <c r="G3" s="12">
        <f t="shared" ref="G3:G4" si="2">E3+F3</f>
        <v>26660.55</v>
      </c>
      <c r="H3" s="12">
        <f t="shared" ref="H3:H4" si="3">G3*0.45</f>
        <v>11997.247499999999</v>
      </c>
      <c r="I3" s="13">
        <f t="shared" ref="I3:I4" si="4">G3+H3</f>
        <v>38657.797500000001</v>
      </c>
      <c r="J3" t="s">
        <v>123</v>
      </c>
      <c r="N3" s="14" t="s">
        <v>12</v>
      </c>
    </row>
    <row r="4" spans="1:14" ht="15.75" thickBot="1" x14ac:dyDescent="0.3">
      <c r="A4" s="17" t="s">
        <v>14</v>
      </c>
      <c r="B4" s="67" t="s">
        <v>15</v>
      </c>
      <c r="C4" s="18">
        <v>472.93</v>
      </c>
      <c r="D4" s="18">
        <f>'System Parameters'!$B$20</f>
        <v>7</v>
      </c>
      <c r="E4" s="19">
        <f t="shared" si="0"/>
        <v>3310.51</v>
      </c>
      <c r="F4" s="18">
        <f t="shared" si="1"/>
        <v>1750</v>
      </c>
      <c r="G4" s="19">
        <f t="shared" si="2"/>
        <v>5060.51</v>
      </c>
      <c r="H4" s="19">
        <f t="shared" si="3"/>
        <v>2277.2295000000004</v>
      </c>
      <c r="I4" s="20">
        <f t="shared" si="4"/>
        <v>7337.7395000000006</v>
      </c>
      <c r="J4" t="s">
        <v>125</v>
      </c>
      <c r="N4" s="15" t="s">
        <v>13</v>
      </c>
    </row>
    <row r="5" spans="1:14" ht="15.75" thickBot="1" x14ac:dyDescent="0.3">
      <c r="A5" s="21" t="s">
        <v>29</v>
      </c>
      <c r="B5" s="22"/>
      <c r="C5" s="22"/>
      <c r="D5" s="22"/>
      <c r="E5" s="23"/>
      <c r="F5" s="23"/>
      <c r="G5" s="23"/>
      <c r="H5" s="22"/>
      <c r="I5" s="24">
        <f>SUM(I2:I4)</f>
        <v>185558.03699999998</v>
      </c>
      <c r="N5" s="16" t="s">
        <v>16</v>
      </c>
    </row>
    <row r="6" spans="1:14" ht="15.75" thickBot="1" x14ac:dyDescent="0.3"/>
    <row r="7" spans="1:14" ht="15.75" thickBot="1" x14ac:dyDescent="0.3">
      <c r="A7" s="52" t="s">
        <v>30</v>
      </c>
      <c r="B7" s="53"/>
      <c r="C7" s="54"/>
    </row>
    <row r="8" spans="1:14" x14ac:dyDescent="0.25">
      <c r="A8" s="5" t="s">
        <v>31</v>
      </c>
      <c r="B8" s="25">
        <f>I5</f>
        <v>185558.03699999998</v>
      </c>
      <c r="C8" s="26" t="s">
        <v>32</v>
      </c>
    </row>
    <row r="9" spans="1:14" x14ac:dyDescent="0.25">
      <c r="A9" s="10" t="s">
        <v>33</v>
      </c>
      <c r="B9" s="27">
        <f>B8*0.15</f>
        <v>27833.705549999995</v>
      </c>
      <c r="C9" s="28" t="s">
        <v>34</v>
      </c>
      <c r="D9" t="s">
        <v>35</v>
      </c>
    </row>
    <row r="10" spans="1:14" ht="15.75" thickBot="1" x14ac:dyDescent="0.3">
      <c r="A10" s="29" t="s">
        <v>36</v>
      </c>
      <c r="B10" s="30">
        <v>0</v>
      </c>
      <c r="C10" s="31" t="s">
        <v>32</v>
      </c>
      <c r="D10" t="s">
        <v>37</v>
      </c>
    </row>
    <row r="11" spans="1:14" ht="15.75" thickBot="1" x14ac:dyDescent="0.3">
      <c r="A11" s="32" t="s">
        <v>38</v>
      </c>
      <c r="B11" s="33">
        <f>SUM(B8:B10)</f>
        <v>213391.74254999997</v>
      </c>
      <c r="C11" s="34" t="s">
        <v>32</v>
      </c>
    </row>
  </sheetData>
  <mergeCells count="1"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EF9B-AFF5-403E-98BA-1FDFA64FF917}">
  <dimension ref="A1:F24"/>
  <sheetViews>
    <sheetView tabSelected="1" topLeftCell="A2" workbookViewId="0">
      <selection activeCell="E29" sqref="E29"/>
    </sheetView>
  </sheetViews>
  <sheetFormatPr defaultRowHeight="15" x14ac:dyDescent="0.25"/>
  <cols>
    <col min="1" max="1" width="31" bestFit="1" customWidth="1"/>
    <col min="2" max="2" width="9.5703125" customWidth="1"/>
    <col min="3" max="3" width="23.28515625" bestFit="1" customWidth="1"/>
    <col min="4" max="4" width="18.5703125" bestFit="1" customWidth="1"/>
    <col min="5" max="5" width="53.42578125" bestFit="1" customWidth="1"/>
  </cols>
  <sheetData>
    <row r="1" spans="1:6" x14ac:dyDescent="0.25">
      <c r="A1" s="40" t="s">
        <v>62</v>
      </c>
      <c r="B1" t="s">
        <v>63</v>
      </c>
    </row>
    <row r="2" spans="1:6" x14ac:dyDescent="0.25">
      <c r="A2" s="40"/>
      <c r="B2" t="s">
        <v>97</v>
      </c>
    </row>
    <row r="4" spans="1:6" x14ac:dyDescent="0.25">
      <c r="A4" s="41" t="s">
        <v>64</v>
      </c>
      <c r="B4" s="35" t="s">
        <v>2</v>
      </c>
      <c r="C4" s="35" t="s">
        <v>137</v>
      </c>
      <c r="D4" s="35" t="s">
        <v>65</v>
      </c>
      <c r="E4" t="s">
        <v>66</v>
      </c>
      <c r="F4" t="s">
        <v>132</v>
      </c>
    </row>
    <row r="5" spans="1:6" x14ac:dyDescent="0.25">
      <c r="A5" s="60" t="s">
        <v>67</v>
      </c>
      <c r="B5" s="11">
        <v>400</v>
      </c>
      <c r="C5" s="42">
        <f>23.65/(22.7*0.9)</f>
        <v>1.1576113558492414</v>
      </c>
      <c r="D5" s="27">
        <f>B5*C5</f>
        <v>463.04454233969653</v>
      </c>
      <c r="E5" t="s">
        <v>68</v>
      </c>
      <c r="F5" t="s">
        <v>133</v>
      </c>
    </row>
    <row r="6" spans="1:6" x14ac:dyDescent="0.25">
      <c r="B6" s="44"/>
      <c r="C6" s="44" t="s">
        <v>73</v>
      </c>
    </row>
    <row r="7" spans="1:6" x14ac:dyDescent="0.25">
      <c r="A7" s="41" t="s">
        <v>74</v>
      </c>
      <c r="B7" s="42">
        <f>0.02*'Traditional CAPEX'!B8</f>
        <v>3711.1607399999998</v>
      </c>
      <c r="C7" s="11">
        <v>750</v>
      </c>
      <c r="D7" s="27">
        <f>B7/C7</f>
        <v>4.9482143199999999</v>
      </c>
      <c r="E7" t="s">
        <v>75</v>
      </c>
    </row>
    <row r="8" spans="1:6" x14ac:dyDescent="0.25">
      <c r="A8" s="40"/>
    </row>
    <row r="9" spans="1:6" x14ac:dyDescent="0.25">
      <c r="A9" s="41" t="s">
        <v>76</v>
      </c>
      <c r="B9" s="35" t="s">
        <v>2</v>
      </c>
      <c r="C9" s="35" t="s">
        <v>137</v>
      </c>
      <c r="D9" s="35"/>
    </row>
    <row r="10" spans="1:6" ht="15.75" thickBot="1" x14ac:dyDescent="0.3">
      <c r="A10" s="56" t="s">
        <v>77</v>
      </c>
      <c r="B10" s="30">
        <v>0.1149</v>
      </c>
      <c r="C10" s="45">
        <v>247</v>
      </c>
      <c r="D10" s="46">
        <f>B10*C10</f>
        <v>28.380300000000002</v>
      </c>
      <c r="E10" t="s">
        <v>78</v>
      </c>
      <c r="F10" t="s">
        <v>136</v>
      </c>
    </row>
    <row r="11" spans="1:6" x14ac:dyDescent="0.25">
      <c r="A11" s="47" t="s">
        <v>79</v>
      </c>
      <c r="B11" s="39"/>
      <c r="C11" s="39"/>
      <c r="D11" s="48">
        <f>SUM(D5:D10)</f>
        <v>496.37305665969649</v>
      </c>
    </row>
    <row r="12" spans="1:6" ht="15.75" thickBot="1" x14ac:dyDescent="0.3">
      <c r="A12" s="21" t="s">
        <v>80</v>
      </c>
      <c r="B12" s="22"/>
      <c r="C12" s="22"/>
      <c r="D12" s="49">
        <f>D11*750</f>
        <v>372279.79249477235</v>
      </c>
    </row>
    <row r="14" spans="1:6" x14ac:dyDescent="0.25">
      <c r="A14" s="40" t="s">
        <v>81</v>
      </c>
      <c r="C14" s="44" t="s">
        <v>73</v>
      </c>
    </row>
    <row r="15" spans="1:6" x14ac:dyDescent="0.25">
      <c r="A15" s="35" t="s">
        <v>82</v>
      </c>
      <c r="B15" s="35">
        <v>0</v>
      </c>
      <c r="C15" s="35">
        <v>0</v>
      </c>
      <c r="D15" s="35">
        <v>0</v>
      </c>
      <c r="E15" t="s">
        <v>83</v>
      </c>
    </row>
    <row r="16" spans="1:6" x14ac:dyDescent="0.25">
      <c r="A16" s="35" t="s">
        <v>84</v>
      </c>
      <c r="B16" s="27">
        <f>0.015*'Traditional CAPEX'!B8</f>
        <v>2783.3705549999995</v>
      </c>
      <c r="C16" s="11">
        <v>750</v>
      </c>
      <c r="D16" s="27">
        <f>B16/C16</f>
        <v>3.7111607399999995</v>
      </c>
      <c r="E16" t="s">
        <v>85</v>
      </c>
    </row>
    <row r="17" spans="1:5" ht="15.75" thickBot="1" x14ac:dyDescent="0.3">
      <c r="A17" s="50" t="s">
        <v>86</v>
      </c>
      <c r="B17" s="46">
        <f>0.006*'Traditional CAPEX'!B8</f>
        <v>1113.3482219999999</v>
      </c>
      <c r="C17" s="30">
        <v>750</v>
      </c>
      <c r="D17" s="46">
        <f>B17/C17</f>
        <v>1.4844642959999998</v>
      </c>
      <c r="E17" t="s">
        <v>87</v>
      </c>
    </row>
    <row r="18" spans="1:5" x14ac:dyDescent="0.25">
      <c r="A18" s="47" t="s">
        <v>88</v>
      </c>
      <c r="B18" s="39"/>
      <c r="C18" s="39"/>
      <c r="D18" s="48">
        <f>SUM(D15:D17)</f>
        <v>5.1956250359999991</v>
      </c>
    </row>
    <row r="19" spans="1:5" ht="15.75" thickBot="1" x14ac:dyDescent="0.3">
      <c r="A19" s="21" t="s">
        <v>89</v>
      </c>
      <c r="B19" s="22"/>
      <c r="C19" s="22"/>
      <c r="D19" s="49">
        <f>D18*750</f>
        <v>3896.7187769999991</v>
      </c>
    </row>
    <row r="21" spans="1:5" x14ac:dyDescent="0.25">
      <c r="A21" s="35" t="s">
        <v>90</v>
      </c>
      <c r="B21" s="51">
        <f>'Traditional CAPEX'!B8</f>
        <v>185558.03699999998</v>
      </c>
      <c r="C21" s="35" t="s">
        <v>32</v>
      </c>
      <c r="D21" t="s">
        <v>91</v>
      </c>
    </row>
    <row r="22" spans="1:5" x14ac:dyDescent="0.25">
      <c r="A22" s="35" t="s">
        <v>98</v>
      </c>
      <c r="B22" s="35">
        <f>B21/10</f>
        <v>18555.803699999997</v>
      </c>
      <c r="C22" s="35" t="s">
        <v>93</v>
      </c>
      <c r="D22" t="s">
        <v>94</v>
      </c>
    </row>
    <row r="23" spans="1:5" x14ac:dyDescent="0.25">
      <c r="A23" s="35" t="s">
        <v>95</v>
      </c>
      <c r="B23" s="51">
        <f>D12+D19</f>
        <v>376176.51127177232</v>
      </c>
      <c r="C23" s="35" t="s">
        <v>93</v>
      </c>
    </row>
    <row r="24" spans="1:5" x14ac:dyDescent="0.25">
      <c r="A24" t="s">
        <v>100</v>
      </c>
      <c r="B24">
        <f>B23/750</f>
        <v>501.56868169569645</v>
      </c>
      <c r="C2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System Parameters</vt:lpstr>
      <vt:lpstr>BGAL CAPEX</vt:lpstr>
      <vt:lpstr>BGAL OPEX</vt:lpstr>
      <vt:lpstr>Traditional CAPEX</vt:lpstr>
      <vt:lpstr>Traditional 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 [C B E]</dc:creator>
  <cp:lastModifiedBy>Jean, Alexandra B</cp:lastModifiedBy>
  <dcterms:created xsi:type="dcterms:W3CDTF">2025-04-28T14:45:24Z</dcterms:created>
  <dcterms:modified xsi:type="dcterms:W3CDTF">2026-04-22T18:59:10Z</dcterms:modified>
</cp:coreProperties>
</file>