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pi.box.com/wopi/files/2206732863915/WOPIServiceId_TP_BOX_2/WOPIUserId_-/"/>
    </mc:Choice>
  </mc:AlternateContent>
  <xr:revisionPtr revIDLastSave="99" documentId="8_{0F68F7D8-2DC7-4EA9-A319-9C45BA424D3C}" xr6:coauthVersionLast="47" xr6:coauthVersionMax="47" xr10:uidLastSave="{1EC8144C-99BA-4456-A90B-95AD38E49843}"/>
  <bookViews>
    <workbookView xWindow="-120" yWindow="-120" windowWidth="29040" windowHeight="15840" xr2:uid="{FDC9C4E8-B574-4BE2-93D1-E2A2A97013D7}"/>
  </bookViews>
  <sheets>
    <sheet name="README" sheetId="38" r:id="rId1"/>
    <sheet name="Baseline_OPEX" sheetId="5" r:id="rId2"/>
    <sheet name="75%Chiller_OPEX" sheetId="25" r:id="rId3"/>
    <sheet name="50%Chiller_OPEX" sheetId="26" r:id="rId4"/>
    <sheet name="25%Chiller_OPEX" sheetId="27" r:id="rId5"/>
    <sheet name="5Barrel_OPEX" sheetId="10" r:id="rId6"/>
    <sheet name="10Barrel_OPEX" sheetId="15" r:id="rId7"/>
    <sheet name="20Barrel_OPEX" sheetId="21" r:id="rId8"/>
    <sheet name="36h_OPEX" sheetId="35" r:id="rId9"/>
    <sheet name="144h_OPEX" sheetId="36" r:id="rId10"/>
    <sheet name="288h_OPEX" sheetId="37"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7" l="1"/>
  <c r="D5" i="37"/>
  <c r="C5" i="37"/>
  <c r="D10" i="36"/>
  <c r="D5" i="36"/>
  <c r="C5" i="36"/>
  <c r="D10" i="35"/>
  <c r="D5" i="35"/>
  <c r="C5" i="35"/>
  <c r="D10" i="27"/>
  <c r="D5" i="27"/>
  <c r="C5" i="27"/>
  <c r="D10" i="26"/>
  <c r="D5" i="26"/>
  <c r="C5" i="26"/>
  <c r="D10" i="25"/>
  <c r="C5" i="25"/>
  <c r="D5" i="25" s="1"/>
  <c r="C5" i="21"/>
  <c r="D10" i="21"/>
  <c r="D5" i="21"/>
  <c r="C5" i="15"/>
  <c r="D5" i="15" s="1"/>
  <c r="D10" i="15"/>
  <c r="C5" i="10"/>
  <c r="D5" i="10" s="1"/>
  <c r="D10" i="10"/>
  <c r="D7" i="21" l="1"/>
  <c r="D11" i="21" s="1"/>
  <c r="D12" i="21" s="1"/>
  <c r="D17" i="21"/>
  <c r="D16" i="21"/>
  <c r="B22" i="21"/>
  <c r="D18" i="21" l="1"/>
  <c r="D16" i="15"/>
  <c r="B22" i="15"/>
  <c r="D17" i="15"/>
  <c r="D7" i="15"/>
  <c r="D11" i="15" s="1"/>
  <c r="D12" i="15" s="1"/>
  <c r="D17" i="10"/>
  <c r="D7" i="10"/>
  <c r="D11" i="10" s="1"/>
  <c r="D12" i="10" s="1"/>
  <c r="D16" i="10"/>
  <c r="B22" i="10"/>
  <c r="D19" i="21" l="1"/>
  <c r="B23" i="21" s="1"/>
  <c r="B25" i="21" s="1"/>
  <c r="D18" i="10"/>
  <c r="D19" i="10" s="1"/>
  <c r="B23" i="10" s="1"/>
  <c r="B25" i="10" s="1"/>
  <c r="D18" i="15"/>
  <c r="C5" i="5"/>
  <c r="D19" i="15" l="1"/>
  <c r="B23" i="15" s="1"/>
  <c r="B25" i="15" s="1"/>
  <c r="D5" i="5"/>
  <c r="D10" i="5" l="1"/>
  <c r="D16" i="5" l="1"/>
  <c r="D7" i="5"/>
  <c r="D11" i="5" s="1"/>
  <c r="D12" i="5" s="1"/>
  <c r="D17" i="27"/>
  <c r="D17" i="25"/>
  <c r="D16" i="26"/>
  <c r="D17" i="26"/>
  <c r="D16" i="25"/>
  <c r="D16" i="35"/>
  <c r="D17" i="37"/>
  <c r="D7" i="35"/>
  <c r="D11" i="35" s="1"/>
  <c r="D12" i="35" s="1"/>
  <c r="D7" i="25"/>
  <c r="D11" i="25" s="1"/>
  <c r="D12" i="25" s="1"/>
  <c r="D17" i="35"/>
  <c r="D16" i="36"/>
  <c r="D7" i="36"/>
  <c r="D11" i="36" s="1"/>
  <c r="D12" i="36" s="1"/>
  <c r="D7" i="37"/>
  <c r="D11" i="37" s="1"/>
  <c r="D12" i="37" s="1"/>
  <c r="D7" i="27"/>
  <c r="D11" i="27" s="1"/>
  <c r="D12" i="27" s="1"/>
  <c r="D7" i="26"/>
  <c r="D11" i="26" s="1"/>
  <c r="D12" i="26" s="1"/>
  <c r="D17" i="36"/>
  <c r="D17" i="5"/>
  <c r="D16" i="37"/>
  <c r="D16" i="27"/>
  <c r="D18" i="5" l="1"/>
  <c r="D19" i="5" s="1"/>
  <c r="B23" i="5" s="1"/>
  <c r="B25" i="5" s="1"/>
  <c r="D18" i="26"/>
  <c r="D19" i="26" s="1"/>
  <c r="B23" i="26" s="1"/>
  <c r="B25" i="26" s="1"/>
  <c r="D18" i="35"/>
  <c r="D19" i="35" s="1"/>
  <c r="B23" i="35" s="1"/>
  <c r="B25" i="35" s="1"/>
  <c r="D18" i="27"/>
  <c r="D19" i="27" s="1"/>
  <c r="B23" i="27" s="1"/>
  <c r="B25" i="27" s="1"/>
  <c r="D18" i="25"/>
  <c r="D19" i="25" s="1"/>
  <c r="B23" i="25" s="1"/>
  <c r="B25" i="25" s="1"/>
  <c r="D18" i="37"/>
  <c r="D19" i="37" s="1"/>
  <c r="B23" i="37" s="1"/>
  <c r="B25" i="37" s="1"/>
  <c r="B22" i="5"/>
  <c r="B22" i="25"/>
  <c r="B22" i="26"/>
  <c r="B22" i="37"/>
  <c r="B22" i="35"/>
  <c r="B22" i="36"/>
  <c r="B22" i="27"/>
  <c r="D18" i="36"/>
  <c r="D19" i="36" s="1"/>
  <c r="B23" i="36" s="1"/>
  <c r="B25" i="36" s="1"/>
</calcChain>
</file>

<file path=xl/sharedStrings.xml><?xml version="1.0" encoding="utf-8"?>
<sst xmlns="http://schemas.openxmlformats.org/spreadsheetml/2006/main" count="429" uniqueCount="67">
  <si>
    <t>Legend</t>
  </si>
  <si>
    <t>Input</t>
  </si>
  <si>
    <t xml:space="preserve">Intermediate Calculations </t>
  </si>
  <si>
    <t xml:space="preserve">Results </t>
  </si>
  <si>
    <t xml:space="preserve">Unit Cost </t>
  </si>
  <si>
    <t>USD</t>
  </si>
  <si>
    <t xml:space="preserve">Variable Costs </t>
  </si>
  <si>
    <t xml:space="preserve">Excludes labor - no additional requirements from other brewing operations </t>
  </si>
  <si>
    <t xml:space="preserve">One batch per 4 days (72 hrs + 1 day for kegging/cleaning/refill); Operations 340 days/year; 85 batches per year per bright tank </t>
  </si>
  <si>
    <t xml:space="preserve">Raw Materials </t>
  </si>
  <si>
    <t>Quantity per 2 bbl batch</t>
  </si>
  <si>
    <t>Cost per Batch</t>
  </si>
  <si>
    <t xml:space="preserve">Notes </t>
  </si>
  <si>
    <t>Carbon Dioxide (USD/50lb tank)</t>
  </si>
  <si>
    <t xml:space="preserve">assume utilize 90% of gas before replacing </t>
  </si>
  <si>
    <t xml:space="preserve">Batches per year </t>
  </si>
  <si>
    <t>Maintenance (USD/year)</t>
  </si>
  <si>
    <t xml:space="preserve">2% of FCI annually </t>
  </si>
  <si>
    <t xml:space="preserve">Utilities </t>
  </si>
  <si>
    <t>Electricity (USD/kWh)</t>
  </si>
  <si>
    <t xml:space="preserve">Average commercial electricity price in Iowa </t>
  </si>
  <si>
    <t>Total Variable Costs (USD/Batch)</t>
  </si>
  <si>
    <t>Total Variable Costs (USD/Year)</t>
  </si>
  <si>
    <t>Fixed Costs</t>
  </si>
  <si>
    <t>Overhead</t>
  </si>
  <si>
    <t>no additional requirements from other brewing operations</t>
  </si>
  <si>
    <t>Local Taxes (USD/year)</t>
  </si>
  <si>
    <t>1.5% FCI</t>
  </si>
  <si>
    <t>Insurance (USD/year)</t>
  </si>
  <si>
    <t>0.6% FCI</t>
  </si>
  <si>
    <t>Total Fixed Costs (USD/Batch)</t>
  </si>
  <si>
    <t>Total Fixed Costs (USD/year)</t>
  </si>
  <si>
    <t>Capital Investment in Year 0</t>
  </si>
  <si>
    <t xml:space="preserve">100% out-of-pocket </t>
  </si>
  <si>
    <t xml:space="preserve">USD/year </t>
  </si>
  <si>
    <t xml:space="preserve">0% equity financity </t>
  </si>
  <si>
    <t xml:space="preserve">Annual Operating Costs </t>
  </si>
  <si>
    <t xml:space="preserve">Batch Operating Costs </t>
  </si>
  <si>
    <t>USD/Batch</t>
  </si>
  <si>
    <t>Annual Depreciation</t>
  </si>
  <si>
    <t xml:space="preserve">10 year useful life; 0 salvage value </t>
  </si>
  <si>
    <t xml:space="preserve">One batch per 3 days (72 hrs + 1 day for kegging/cleaning/refill); Operations 340 days/year; 113 batches per year per bright tank </t>
  </si>
  <si>
    <t xml:space="preserve">Cells in the tabs are color coded acoording to: </t>
  </si>
  <si>
    <t>Tab Name</t>
  </si>
  <si>
    <t>Description</t>
  </si>
  <si>
    <t>Each tab contains the relavelnt calculations and results for the system of interest. Input parameters from inventory assessment. Because this is the traiditonal system, there are no capital expenditures for retrofit, so only operating costs are included</t>
  </si>
  <si>
    <t xml:space="preserve">This file contains the data and calculations for the traditional configuration techno-economic assessment and sensitivity analyses contained in "Techno-economic analysis and life cycle assessment for the rapid carbonation of beer" </t>
  </si>
  <si>
    <t>Baseline_OPEX</t>
  </si>
  <si>
    <t>75%Chiller_OPEX</t>
  </si>
  <si>
    <t>50%Chiller_OPEX</t>
  </si>
  <si>
    <t>25%Chiller_OPEX</t>
  </si>
  <si>
    <t>5Barrel_OPEX</t>
  </si>
  <si>
    <t>10Barrel_OPEX</t>
  </si>
  <si>
    <t>20Barrel_OPEX</t>
  </si>
  <si>
    <t>36h_OPEX</t>
  </si>
  <si>
    <t>144h_OPEX</t>
  </si>
  <si>
    <t>288h_OPEX</t>
  </si>
  <si>
    <t xml:space="preserve">operating costs for baseline system: 62 gallon beer carbonated over 72h in a bubbled bright tank </t>
  </si>
  <si>
    <t xml:space="preserve">operating costs for system utilizing an average of 75% max power demand on the chiller over 72h in a bubbled bright tank. </t>
  </si>
  <si>
    <t xml:space="preserve">operating costs for system utilizing an average of 50% max power demand on the chiller over 72h in a bubbled bright tank. </t>
  </si>
  <si>
    <t xml:space="preserve">operating costs for system utilizing an average of 25% max power demand on the chiller over 72h in a bubbled bright tank. </t>
  </si>
  <si>
    <t xml:space="preserve">operating costs for 5 barrel system: 155 gallon beer carbonated over 72h in a bubbled bright tank </t>
  </si>
  <si>
    <t xml:space="preserve">operating costs for 10 barrel system: 310 gallon beer carbonated over 72h in a bubbled bright tank </t>
  </si>
  <si>
    <t xml:space="preserve">operating costs for 20 barrel system: 620 gallon beer carbonated over 72h in a bubbled bright tank </t>
  </si>
  <si>
    <t xml:space="preserve">operating costs for system with a residence time of 36h in the bright tank. </t>
  </si>
  <si>
    <t>operating costs for system with a residence time of 144h in the bright tank</t>
  </si>
  <si>
    <t>operating costs for system with a residence time of 288h in the bright tank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</si>
</sst>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0" fillId="0" borderId="6" xfId="0" applyBorder="1"/>
    <xf numFmtId="2" fontId="0" fillId="0" borderId="0" xfId="0" applyNumberFormat="1"/>
    <xf numFmtId="0" fontId="0" fillId="0" borderId="1" xfId="0" applyBorder="1" applyAlignment="1">
      <alignment horizontal="center"/>
    </xf>
    <xf numFmtId="0" fontId="0" fillId="2" borderId="9" xfId="0" applyFill="1" applyBorder="1" applyAlignment="1">
      <alignment horizontal="center"/>
    </xf>
    <xf numFmtId="0" fontId="0" fillId="3" borderId="7" xfId="0" applyFill="1" applyBorder="1" applyAlignment="1">
      <alignment horizontal="center"/>
    </xf>
    <xf numFmtId="0" fontId="0" fillId="4" borderId="8" xfId="0" applyFill="1" applyBorder="1" applyAlignment="1">
      <alignment horizontal="center"/>
    </xf>
    <xf numFmtId="0" fontId="0" fillId="2" borderId="6" xfId="0" applyFill="1" applyBorder="1"/>
    <xf numFmtId="2" fontId="0" fillId="3" borderId="6" xfId="0" applyNumberFormat="1" applyFill="1" applyBorder="1"/>
    <xf numFmtId="2" fontId="0" fillId="0" borderId="6" xfId="0" applyNumberFormat="1" applyBorder="1"/>
    <xf numFmtId="2" fontId="0" fillId="2" borderId="6" xfId="0" applyNumberFormat="1" applyFill="1" applyBorder="1"/>
    <xf numFmtId="2" fontId="0" fillId="4" borderId="6" xfId="0" applyNumberFormat="1" applyFill="1" applyBorder="1"/>
    <xf numFmtId="2" fontId="0" fillId="2" borderId="12" xfId="0" applyNumberFormat="1" applyFill="1" applyBorder="1"/>
    <xf numFmtId="0" fontId="1" fillId="0" borderId="0" xfId="0" applyFont="1"/>
    <xf numFmtId="0" fontId="1" fillId="0" borderId="4" xfId="0" applyFont="1" applyBorder="1"/>
    <xf numFmtId="0" fontId="0" fillId="0" borderId="11" xfId="0" applyBorder="1"/>
    <xf numFmtId="0" fontId="2" fillId="0" borderId="6" xfId="1" applyBorder="1"/>
    <xf numFmtId="2" fontId="1" fillId="4" borderId="5" xfId="0" applyNumberFormat="1" applyFont="1" applyFill="1" applyBorder="1"/>
    <xf numFmtId="0" fontId="0" fillId="2" borderId="12" xfId="0" applyFill="1" applyBorder="1"/>
    <xf numFmtId="0" fontId="1" fillId="0" borderId="6" xfId="0" applyFont="1" applyBorder="1"/>
    <xf numFmtId="0" fontId="1" fillId="0" borderId="2" xfId="0" applyFont="1" applyBorder="1"/>
    <xf numFmtId="0" fontId="0" fillId="0" borderId="10" xfId="0" applyBorder="1"/>
    <xf numFmtId="0" fontId="2" fillId="0" borderId="12" xfId="1" applyBorder="1"/>
    <xf numFmtId="0" fontId="0" fillId="0" borderId="12" xfId="0" applyBorder="1"/>
    <xf numFmtId="2" fontId="0" fillId="3" borderId="12" xfId="0" applyNumberFormat="1" applyFill="1" applyBorder="1"/>
    <xf numFmtId="2" fontId="1" fillId="4" borderId="3" xfId="0" applyNumberFormat="1"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eia.gov/state/print.php?sid=IA" TargetMode="External"/><Relationship Id="rId1" Type="http://schemas.openxmlformats.org/officeDocument/2006/relationships/hyperlink" Target="https://beveragelements.com/beverage_elements_shop/gas-cylinders-regulators/co2-cylinders/50-lb-co2-cylinder-aluminum-new/?srsltid=AfmBOooUEhMJxu4FtJ4OvRwj0okhM-yZpCFAKBAZ7a9-Y0XwB8wqs_f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5A111-5F23-490E-A4E9-D1C86FA0CCE9}">
  <dimension ref="B2:C23"/>
  <sheetViews>
    <sheetView tabSelected="1" workbookViewId="0">
      <selection activeCell="P25" sqref="P25"/>
    </sheetView>
  </sheetViews>
  <sheetFormatPr defaultRowHeight="15" x14ac:dyDescent="0.25"/>
  <cols>
    <col min="2" max="2" width="24.140625" customWidth="1"/>
    <col min="3" max="3" width="11.140625" bestFit="1" customWidth="1"/>
  </cols>
  <sheetData>
    <row r="2" spans="2:3" x14ac:dyDescent="0.25">
      <c r="B2" t="s">
        <v>46</v>
      </c>
    </row>
    <row r="4" spans="2:3" x14ac:dyDescent="0.25">
      <c r="B4" t="s">
        <v>45</v>
      </c>
    </row>
    <row r="6" spans="2:3" x14ac:dyDescent="0.25">
      <c r="B6" t="s">
        <v>42</v>
      </c>
    </row>
    <row r="7" spans="2:3" ht="15.75" thickBot="1" x14ac:dyDescent="0.3"/>
    <row r="8" spans="2:3" ht="15.75" thickBot="1" x14ac:dyDescent="0.3">
      <c r="B8" s="3" t="s">
        <v>0</v>
      </c>
    </row>
    <row r="9" spans="2:3" x14ac:dyDescent="0.25">
      <c r="B9" s="4" t="s">
        <v>1</v>
      </c>
    </row>
    <row r="10" spans="2:3" x14ac:dyDescent="0.25">
      <c r="B10" s="5" t="s">
        <v>2</v>
      </c>
    </row>
    <row r="11" spans="2:3" ht="15.75" thickBot="1" x14ac:dyDescent="0.3">
      <c r="B11" s="6" t="s">
        <v>3</v>
      </c>
    </row>
    <row r="13" spans="2:3" x14ac:dyDescent="0.25">
      <c r="B13" t="s">
        <v>43</v>
      </c>
      <c r="C13" t="s">
        <v>44</v>
      </c>
    </row>
    <row r="14" spans="2:3" x14ac:dyDescent="0.25">
      <c r="B14" t="s">
        <v>47</v>
      </c>
      <c r="C14" t="s">
        <v>57</v>
      </c>
    </row>
    <row r="15" spans="2:3" x14ac:dyDescent="0.25">
      <c r="B15" t="s">
        <v>48</v>
      </c>
      <c r="C15" t="s">
        <v>58</v>
      </c>
    </row>
    <row r="16" spans="2:3" x14ac:dyDescent="0.25">
      <c r="B16" t="s">
        <v>49</v>
      </c>
      <c r="C16" t="s">
        <v>59</v>
      </c>
    </row>
    <row r="17" spans="2:3" x14ac:dyDescent="0.25">
      <c r="B17" t="s">
        <v>50</v>
      </c>
      <c r="C17" t="s">
        <v>60</v>
      </c>
    </row>
    <row r="18" spans="2:3" x14ac:dyDescent="0.25">
      <c r="B18" t="s">
        <v>51</v>
      </c>
      <c r="C18" t="s">
        <v>61</v>
      </c>
    </row>
    <row r="19" spans="2:3" x14ac:dyDescent="0.25">
      <c r="B19" t="s">
        <v>52</v>
      </c>
      <c r="C19" t="s">
        <v>62</v>
      </c>
    </row>
    <row r="20" spans="2:3" x14ac:dyDescent="0.25">
      <c r="B20" t="s">
        <v>53</v>
      </c>
      <c r="C20" t="s">
        <v>63</v>
      </c>
    </row>
    <row r="21" spans="2:3" x14ac:dyDescent="0.25">
      <c r="B21" t="s">
        <v>54</v>
      </c>
      <c r="C21" t="s">
        <v>64</v>
      </c>
    </row>
    <row r="22" spans="2:3" x14ac:dyDescent="0.25">
      <c r="B22" t="s">
        <v>55</v>
      </c>
      <c r="C22" t="s">
        <v>65</v>
      </c>
    </row>
    <row r="23" spans="2:3" x14ac:dyDescent="0.25">
      <c r="B23" t="s">
        <v>56</v>
      </c>
      <c r="C23" t="s">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E797-3571-4E89-9818-CA342C616BA0}">
  <dimension ref="A1:E25"/>
  <sheetViews>
    <sheetView workbookViewId="0">
      <selection activeCell="G33" sqref="G33"/>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2.33/(22.7*0.9)</f>
        <v>0.11404796867351934</v>
      </c>
      <c r="D5" s="8">
        <f>B5*C5</f>
        <v>45.619187469407734</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246.86</v>
      </c>
      <c r="D10" s="24">
        <f>B10*C10</f>
        <v>28.364214</v>
      </c>
      <c r="E10" t="s">
        <v>20</v>
      </c>
    </row>
    <row r="11" spans="1:5" x14ac:dyDescent="0.25">
      <c r="A11" s="20" t="s">
        <v>21</v>
      </c>
      <c r="B11" s="21"/>
      <c r="C11" s="21"/>
      <c r="D11" s="25">
        <f>SUM(D5:D10)</f>
        <v>73.983401469407738</v>
      </c>
    </row>
    <row r="12" spans="1:5" ht="15.75" thickBot="1" x14ac:dyDescent="0.3">
      <c r="A12" s="14" t="s">
        <v>22</v>
      </c>
      <c r="B12" s="15"/>
      <c r="C12" s="15"/>
      <c r="D12" s="17">
        <f>D11*113</f>
        <v>8360.1243660430737</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40</v>
      </c>
    </row>
    <row r="23" spans="1:5" x14ac:dyDescent="0.25">
      <c r="A23" s="1" t="s">
        <v>36</v>
      </c>
      <c r="B23" s="9">
        <f>D12+D19</f>
        <v>8360.1243660430737</v>
      </c>
      <c r="C23" s="1" t="s">
        <v>34</v>
      </c>
    </row>
    <row r="25" spans="1:5" x14ac:dyDescent="0.25">
      <c r="A25" s="1" t="s">
        <v>37</v>
      </c>
      <c r="B25" s="11">
        <f>B23/113</f>
        <v>73.983401469407738</v>
      </c>
      <c r="C25" s="1" t="s">
        <v>38</v>
      </c>
    </row>
  </sheetData>
  <hyperlinks>
    <hyperlink ref="A5" r:id="rId1" xr:uid="{CDDBA885-6955-4E45-822A-73809AA6CDFB}"/>
    <hyperlink ref="A10" r:id="rId2" xr:uid="{5BC6A9AF-EF0D-4898-AF50-B8A79E9724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0F301-5279-45DE-9F26-74A1A2C8528A}">
  <dimension ref="A1:E25"/>
  <sheetViews>
    <sheetView workbookViewId="0">
      <selection activeCell="D29" sqref="D29"/>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2.33/(22.7*0.9)</f>
        <v>0.11404796867351934</v>
      </c>
      <c r="D5" s="8">
        <f>B5*C5</f>
        <v>45.619187469407734</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185</v>
      </c>
      <c r="D10" s="24">
        <f>B10*C10</f>
        <v>21.256499999999999</v>
      </c>
      <c r="E10" t="s">
        <v>20</v>
      </c>
    </row>
    <row r="11" spans="1:5" x14ac:dyDescent="0.25">
      <c r="A11" s="20" t="s">
        <v>21</v>
      </c>
      <c r="B11" s="21"/>
      <c r="C11" s="21"/>
      <c r="D11" s="25">
        <f>SUM(D5:D10)</f>
        <v>66.875687469407737</v>
      </c>
    </row>
    <row r="12" spans="1:5" ht="15.75" thickBot="1" x14ac:dyDescent="0.3">
      <c r="A12" s="14" t="s">
        <v>22</v>
      </c>
      <c r="B12" s="15"/>
      <c r="C12" s="15"/>
      <c r="D12" s="17">
        <f>D11*113</f>
        <v>7556.9526840430744</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7556.9526840430744</v>
      </c>
      <c r="C23" s="1" t="s">
        <v>34</v>
      </c>
    </row>
    <row r="25" spans="1:5" x14ac:dyDescent="0.25">
      <c r="A25" s="1" t="s">
        <v>37</v>
      </c>
      <c r="B25" s="11">
        <f>B23/113</f>
        <v>66.875687469407737</v>
      </c>
      <c r="C25" s="1" t="s">
        <v>38</v>
      </c>
    </row>
  </sheetData>
  <hyperlinks>
    <hyperlink ref="A5" r:id="rId1" xr:uid="{60377B99-2CFF-473B-B0E3-BA71B6BF87A0}"/>
    <hyperlink ref="A10" r:id="rId2" xr:uid="{C58ABD1E-7A3F-4990-A181-9F2AFCDA42E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6F3A-AA1C-4238-AC9F-0919E44FB86F}">
  <dimension ref="A1:E25"/>
  <sheetViews>
    <sheetView workbookViewId="0">
      <selection activeCell="F37" sqref="F37"/>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2.33/(22.7*0.9)</f>
        <v>0.11404796867351934</v>
      </c>
      <c r="D5" s="8">
        <f>B5*C5</f>
        <v>45.619187469407734</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123</v>
      </c>
      <c r="D10" s="24">
        <f>B10*C10</f>
        <v>14.1327</v>
      </c>
      <c r="E10" t="s">
        <v>20</v>
      </c>
    </row>
    <row r="11" spans="1:5" x14ac:dyDescent="0.25">
      <c r="A11" s="20" t="s">
        <v>21</v>
      </c>
      <c r="B11" s="21"/>
      <c r="C11" s="21"/>
      <c r="D11" s="25">
        <f>SUM(D5:D10)</f>
        <v>59.751887469407734</v>
      </c>
    </row>
    <row r="12" spans="1:5" ht="15.75" thickBot="1" x14ac:dyDescent="0.3">
      <c r="A12" s="14" t="s">
        <v>22</v>
      </c>
      <c r="B12" s="15"/>
      <c r="C12" s="15"/>
      <c r="D12" s="17">
        <f>D11*113</f>
        <v>6751.9632840430741</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D18*170</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6751.9632840430741</v>
      </c>
      <c r="C23" s="1" t="s">
        <v>34</v>
      </c>
    </row>
    <row r="25" spans="1:5" x14ac:dyDescent="0.25">
      <c r="A25" s="1" t="s">
        <v>37</v>
      </c>
      <c r="B25" s="11">
        <f>B23/113</f>
        <v>59.751887469407734</v>
      </c>
      <c r="C25" s="1" t="s">
        <v>38</v>
      </c>
    </row>
  </sheetData>
  <hyperlinks>
    <hyperlink ref="A5" r:id="rId1" xr:uid="{E8ECE7D0-AAAB-49EF-AB4D-68D664025325}"/>
    <hyperlink ref="A10" r:id="rId2" xr:uid="{475226C9-A734-47A9-96D9-0E430C0B207A}"/>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2CC77-B26D-473B-9C91-EB8557D2066C}">
  <dimension ref="A1:E25"/>
  <sheetViews>
    <sheetView workbookViewId="0">
      <selection activeCell="D31" sqref="D31"/>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2.33/(22.7*0.9)</f>
        <v>0.11404796867351934</v>
      </c>
      <c r="D5" s="8">
        <f>B5*C5</f>
        <v>45.619187469407734</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62</v>
      </c>
      <c r="D10" s="24">
        <f>B10*C10</f>
        <v>7.1238000000000001</v>
      </c>
      <c r="E10" t="s">
        <v>20</v>
      </c>
    </row>
    <row r="11" spans="1:5" x14ac:dyDescent="0.25">
      <c r="A11" s="20" t="s">
        <v>21</v>
      </c>
      <c r="B11" s="21"/>
      <c r="C11" s="21"/>
      <c r="D11" s="25">
        <f>SUM(D5:D10)</f>
        <v>52.742987469407737</v>
      </c>
    </row>
    <row r="12" spans="1:5" ht="15.75" thickBot="1" x14ac:dyDescent="0.3">
      <c r="A12" s="14" t="s">
        <v>22</v>
      </c>
      <c r="B12" s="15"/>
      <c r="C12" s="15"/>
      <c r="D12" s="17">
        <f>D11*113</f>
        <v>5959.9575840430743</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5959.9575840430743</v>
      </c>
      <c r="C23" s="1" t="s">
        <v>34</v>
      </c>
    </row>
    <row r="25" spans="1:5" x14ac:dyDescent="0.25">
      <c r="A25" s="1" t="s">
        <v>37</v>
      </c>
      <c r="B25" s="11">
        <f>B23/113</f>
        <v>52.742987469407737</v>
      </c>
      <c r="C25" s="1" t="s">
        <v>38</v>
      </c>
    </row>
  </sheetData>
  <hyperlinks>
    <hyperlink ref="A5" r:id="rId1" xr:uid="{F77CC0DD-C773-40F3-B771-5370DBE1A6F6}"/>
    <hyperlink ref="A10" r:id="rId2" xr:uid="{11D3EC13-9651-472B-BA76-5DE9701FCE9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BEE43-1600-4ED8-B8A1-E4A03944694E}">
  <dimension ref="A1:E25"/>
  <sheetViews>
    <sheetView workbookViewId="0">
      <selection activeCell="B21" sqref="B21"/>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6/(22.7*0.9)</f>
        <v>0.29368575624082233</v>
      </c>
      <c r="D5" s="8">
        <f>B5*C5</f>
        <v>117.47430249632893</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247</v>
      </c>
      <c r="D10" s="24">
        <f>B10*C10</f>
        <v>28.380300000000002</v>
      </c>
      <c r="E10" t="s">
        <v>20</v>
      </c>
    </row>
    <row r="11" spans="1:5" x14ac:dyDescent="0.25">
      <c r="A11" s="20" t="s">
        <v>21</v>
      </c>
      <c r="B11" s="21"/>
      <c r="C11" s="21"/>
      <c r="D11" s="25">
        <f>SUM(D5:D10)</f>
        <v>145.85460249632894</v>
      </c>
    </row>
    <row r="12" spans="1:5" ht="15.75" thickBot="1" x14ac:dyDescent="0.3">
      <c r="A12" s="14" t="s">
        <v>22</v>
      </c>
      <c r="B12" s="15"/>
      <c r="C12" s="15"/>
      <c r="D12" s="17">
        <f>D11*113</f>
        <v>16481.570082085171</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16481.570082085171</v>
      </c>
      <c r="C23" s="1" t="s">
        <v>34</v>
      </c>
    </row>
    <row r="25" spans="1:5" x14ac:dyDescent="0.25">
      <c r="A25" s="1" t="s">
        <v>37</v>
      </c>
      <c r="B25" s="11">
        <f>B23/113</f>
        <v>145.85460249632894</v>
      </c>
      <c r="C25" s="1" t="s">
        <v>38</v>
      </c>
    </row>
  </sheetData>
  <hyperlinks>
    <hyperlink ref="A5" r:id="rId1" xr:uid="{F678566B-5D90-4881-9284-5B607D48BF84}"/>
    <hyperlink ref="A10" r:id="rId2" xr:uid="{75ECC397-82B3-45BA-964E-9247DCE4AF1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A590A-CB68-4784-A3F4-B70DC05B6737}">
  <dimension ref="A1:E25"/>
  <sheetViews>
    <sheetView workbookViewId="0">
      <selection activeCell="G25" sqref="G25"/>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11.83/(22.7*0.9)</f>
        <v>0.57905041605482133</v>
      </c>
      <c r="D5" s="8">
        <f>B5*C5</f>
        <v>231.62016642192853</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247</v>
      </c>
      <c r="D10" s="24">
        <f>B10*C10</f>
        <v>28.380300000000002</v>
      </c>
      <c r="E10" t="s">
        <v>20</v>
      </c>
    </row>
    <row r="11" spans="1:5" x14ac:dyDescent="0.25">
      <c r="A11" s="20" t="s">
        <v>21</v>
      </c>
      <c r="B11" s="21"/>
      <c r="C11" s="21"/>
      <c r="D11" s="25">
        <f>SUM(D5:D10)</f>
        <v>260.00046642192854</v>
      </c>
    </row>
    <row r="12" spans="1:5" ht="15.75" thickBot="1" x14ac:dyDescent="0.3">
      <c r="A12" s="14" t="s">
        <v>22</v>
      </c>
      <c r="B12" s="15"/>
      <c r="C12" s="15"/>
      <c r="D12" s="17">
        <f>D11*113</f>
        <v>29380.052705677925</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29380.052705677925</v>
      </c>
      <c r="C23" s="1" t="s">
        <v>34</v>
      </c>
    </row>
    <row r="25" spans="1:5" x14ac:dyDescent="0.25">
      <c r="A25" s="1" t="s">
        <v>37</v>
      </c>
      <c r="B25" s="11">
        <f>B23/113</f>
        <v>260.00046642192854</v>
      </c>
      <c r="C25" s="1" t="s">
        <v>38</v>
      </c>
    </row>
  </sheetData>
  <hyperlinks>
    <hyperlink ref="A5" r:id="rId1" xr:uid="{3B0DB885-3B96-411C-A89A-D460E17E8F9B}"/>
    <hyperlink ref="A10" r:id="rId2" xr:uid="{ECA8A518-C10A-4337-9503-61338D7EF64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7534A-A0C6-40E0-99CE-0FE1444E720F}">
  <dimension ref="A1:E25"/>
  <sheetViews>
    <sheetView workbookViewId="0">
      <selection activeCell="J24" sqref="J24"/>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23.65/(22.7*0.9)</f>
        <v>1.1576113558492414</v>
      </c>
      <c r="D5" s="8">
        <f>B5*C5</f>
        <v>463.04454233969653</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247</v>
      </c>
      <c r="D10" s="24">
        <f>B10*C10</f>
        <v>28.380300000000002</v>
      </c>
      <c r="E10" t="s">
        <v>20</v>
      </c>
    </row>
    <row r="11" spans="1:5" x14ac:dyDescent="0.25">
      <c r="A11" s="20" t="s">
        <v>21</v>
      </c>
      <c r="B11" s="21"/>
      <c r="C11" s="21"/>
      <c r="D11" s="25">
        <f>SUM(D5:D10)</f>
        <v>491.42484233969651</v>
      </c>
    </row>
    <row r="12" spans="1:5" ht="15.75" thickBot="1" x14ac:dyDescent="0.3">
      <c r="A12" s="14" t="s">
        <v>22</v>
      </c>
      <c r="B12" s="15"/>
      <c r="C12" s="15"/>
      <c r="D12" s="17">
        <f>D11*113</f>
        <v>55531.007184385708</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55531.007184385708</v>
      </c>
      <c r="C23" s="1" t="s">
        <v>34</v>
      </c>
    </row>
    <row r="25" spans="1:5" x14ac:dyDescent="0.25">
      <c r="A25" s="1" t="s">
        <v>37</v>
      </c>
      <c r="B25" s="11">
        <f>B23/113</f>
        <v>491.42484233969651</v>
      </c>
      <c r="C25" s="1" t="s">
        <v>38</v>
      </c>
    </row>
  </sheetData>
  <hyperlinks>
    <hyperlink ref="A5" r:id="rId1" xr:uid="{8A546CA4-0CC3-46A4-9F30-B627646C4A83}"/>
    <hyperlink ref="A10" r:id="rId2" xr:uid="{CC1FEFA2-88F3-48F7-BD9B-2319AD26101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EDDC8-CDC6-4F1A-91CF-53F591E91C73}">
  <dimension ref="A1:E25"/>
  <sheetViews>
    <sheetView workbookViewId="0">
      <selection activeCell="B21" sqref="B21"/>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2.33/(22.7*0.9)</f>
        <v>0.11404796867351934</v>
      </c>
      <c r="D5" s="8">
        <f>B5*C5</f>
        <v>45.619187469407734</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123</v>
      </c>
      <c r="D10" s="24">
        <f>B10*C10</f>
        <v>14.1327</v>
      </c>
      <c r="E10" t="s">
        <v>20</v>
      </c>
    </row>
    <row r="11" spans="1:5" x14ac:dyDescent="0.25">
      <c r="A11" s="20" t="s">
        <v>21</v>
      </c>
      <c r="B11" s="21"/>
      <c r="C11" s="21"/>
      <c r="D11" s="25">
        <f>SUM(D5:D10)</f>
        <v>59.751887469407734</v>
      </c>
    </row>
    <row r="12" spans="1:5" ht="15.75" thickBot="1" x14ac:dyDescent="0.3">
      <c r="A12" s="14" t="s">
        <v>22</v>
      </c>
      <c r="B12" s="15"/>
      <c r="C12" s="15"/>
      <c r="D12" s="17">
        <f>D11*113</f>
        <v>6751.9632840430741</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6751.9632840430741</v>
      </c>
      <c r="C23" s="1" t="s">
        <v>34</v>
      </c>
    </row>
    <row r="25" spans="1:5" x14ac:dyDescent="0.25">
      <c r="A25" s="1" t="s">
        <v>37</v>
      </c>
      <c r="B25" s="11">
        <f>B23/113</f>
        <v>59.751887469407734</v>
      </c>
      <c r="C25" s="1" t="s">
        <v>38</v>
      </c>
    </row>
  </sheetData>
  <hyperlinks>
    <hyperlink ref="A5" r:id="rId1" xr:uid="{034ADD7B-71F7-4C99-9F13-14D0119C73FC}"/>
    <hyperlink ref="A10" r:id="rId2" xr:uid="{E0DB98A7-9D17-484A-98A1-6FC5C58A152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E518-04F6-422D-A4AA-D0D411BA71AF}">
  <dimension ref="A1:E25"/>
  <sheetViews>
    <sheetView workbookViewId="0">
      <selection activeCell="B21" sqref="B21"/>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8</v>
      </c>
    </row>
    <row r="4" spans="1:5" x14ac:dyDescent="0.25">
      <c r="A4" s="19" t="s">
        <v>9</v>
      </c>
      <c r="B4" s="1" t="s">
        <v>4</v>
      </c>
      <c r="C4" s="1" t="s">
        <v>10</v>
      </c>
      <c r="D4" s="1" t="s">
        <v>11</v>
      </c>
      <c r="E4" t="s">
        <v>12</v>
      </c>
    </row>
    <row r="5" spans="1:5" x14ac:dyDescent="0.25">
      <c r="A5" s="16" t="s">
        <v>13</v>
      </c>
      <c r="B5" s="7">
        <v>400</v>
      </c>
      <c r="C5" s="10">
        <f>2.33/(22.7*0.9)</f>
        <v>0.11404796867351934</v>
      </c>
      <c r="D5" s="8">
        <f>B5*C5</f>
        <v>45.619187469407734</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494</v>
      </c>
      <c r="D10" s="24">
        <f>B10*C10</f>
        <v>56.760600000000004</v>
      </c>
      <c r="E10" t="s">
        <v>20</v>
      </c>
    </row>
    <row r="11" spans="1:5" x14ac:dyDescent="0.25">
      <c r="A11" s="20" t="s">
        <v>21</v>
      </c>
      <c r="B11" s="21"/>
      <c r="C11" s="21"/>
      <c r="D11" s="25">
        <f>SUM(D5:D10)</f>
        <v>102.37978746940774</v>
      </c>
    </row>
    <row r="12" spans="1:5" ht="15.75" thickBot="1" x14ac:dyDescent="0.3">
      <c r="A12" s="14" t="s">
        <v>22</v>
      </c>
      <c r="B12" s="15"/>
      <c r="C12" s="15"/>
      <c r="D12" s="17">
        <f>D11*113</f>
        <v>11568.915984043075</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ht="16.5" customHeight="1" x14ac:dyDescent="0.25">
      <c r="A22" s="1" t="s">
        <v>39</v>
      </c>
      <c r="B22" s="1">
        <f>B21/10</f>
        <v>0</v>
      </c>
      <c r="C22" s="1" t="s">
        <v>34</v>
      </c>
      <c r="D22" t="s">
        <v>35</v>
      </c>
    </row>
    <row r="23" spans="1:5" x14ac:dyDescent="0.25">
      <c r="A23" s="1" t="s">
        <v>36</v>
      </c>
      <c r="B23" s="9">
        <f>D12+D19</f>
        <v>11568.915984043075</v>
      </c>
      <c r="C23" s="1" t="s">
        <v>34</v>
      </c>
    </row>
    <row r="25" spans="1:5" x14ac:dyDescent="0.25">
      <c r="A25" s="1" t="s">
        <v>37</v>
      </c>
      <c r="B25" s="11">
        <f>B23/113</f>
        <v>102.37978746940774</v>
      </c>
      <c r="C25" s="1" t="s">
        <v>38</v>
      </c>
    </row>
  </sheetData>
  <hyperlinks>
    <hyperlink ref="A5" r:id="rId1" xr:uid="{FB6C94FB-E58E-4EDF-B345-2520A3923B5C}"/>
    <hyperlink ref="A10" r:id="rId2" xr:uid="{FE5942DC-6F83-4AD1-AC78-B684171A177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31555-6EC9-4327-8248-07C8EF22B8D7}">
  <dimension ref="A1:E25"/>
  <sheetViews>
    <sheetView workbookViewId="0">
      <selection activeCell="G25" sqref="G25"/>
    </sheetView>
  </sheetViews>
  <sheetFormatPr defaultRowHeight="15" x14ac:dyDescent="0.25"/>
  <cols>
    <col min="1" max="1" width="31" bestFit="1" customWidth="1"/>
    <col min="2" max="2" width="9.5703125" customWidth="1"/>
    <col min="3" max="3" width="22.28515625" bestFit="1" customWidth="1"/>
    <col min="4" max="4" width="18.5703125" bestFit="1" customWidth="1"/>
  </cols>
  <sheetData>
    <row r="1" spans="1:5" x14ac:dyDescent="0.25">
      <c r="A1" s="13" t="s">
        <v>6</v>
      </c>
      <c r="B1" t="s">
        <v>7</v>
      </c>
    </row>
    <row r="2" spans="1:5" x14ac:dyDescent="0.25">
      <c r="A2" s="13"/>
      <c r="B2" t="s">
        <v>41</v>
      </c>
    </row>
    <row r="4" spans="1:5" x14ac:dyDescent="0.25">
      <c r="A4" s="19" t="s">
        <v>9</v>
      </c>
      <c r="B4" s="1" t="s">
        <v>4</v>
      </c>
      <c r="C4" s="1" t="s">
        <v>10</v>
      </c>
      <c r="D4" s="1" t="s">
        <v>11</v>
      </c>
      <c r="E4" t="s">
        <v>12</v>
      </c>
    </row>
    <row r="5" spans="1:5" x14ac:dyDescent="0.25">
      <c r="A5" s="16" t="s">
        <v>13</v>
      </c>
      <c r="B5" s="7">
        <v>400</v>
      </c>
      <c r="C5" s="10">
        <f>2.33/(22.7*0.9)</f>
        <v>0.11404796867351934</v>
      </c>
      <c r="D5" s="8">
        <f>B5*C5</f>
        <v>45.619187469407734</v>
      </c>
      <c r="E5" t="s">
        <v>14</v>
      </c>
    </row>
    <row r="6" spans="1:5" x14ac:dyDescent="0.25">
      <c r="B6" s="2"/>
      <c r="C6" s="2" t="s">
        <v>15</v>
      </c>
    </row>
    <row r="7" spans="1:5" x14ac:dyDescent="0.25">
      <c r="A7" s="19" t="s">
        <v>16</v>
      </c>
      <c r="B7" s="10">
        <v>0</v>
      </c>
      <c r="C7" s="7">
        <v>113</v>
      </c>
      <c r="D7" s="8">
        <f>B7/C7</f>
        <v>0</v>
      </c>
      <c r="E7" t="s">
        <v>17</v>
      </c>
    </row>
    <row r="8" spans="1:5" x14ac:dyDescent="0.25">
      <c r="A8" s="13"/>
    </row>
    <row r="9" spans="1:5" x14ac:dyDescent="0.25">
      <c r="A9" s="19" t="s">
        <v>18</v>
      </c>
      <c r="B9" s="1" t="s">
        <v>4</v>
      </c>
      <c r="C9" s="1" t="s">
        <v>10</v>
      </c>
      <c r="D9" s="1"/>
    </row>
    <row r="10" spans="1:5" ht="15.75" thickBot="1" x14ac:dyDescent="0.3">
      <c r="A10" s="22" t="s">
        <v>19</v>
      </c>
      <c r="B10" s="18">
        <v>0.1149</v>
      </c>
      <c r="C10" s="12">
        <v>987</v>
      </c>
      <c r="D10" s="24">
        <f>B10*C10</f>
        <v>113.4063</v>
      </c>
      <c r="E10" t="s">
        <v>20</v>
      </c>
    </row>
    <row r="11" spans="1:5" x14ac:dyDescent="0.25">
      <c r="A11" s="20" t="s">
        <v>21</v>
      </c>
      <c r="B11" s="21"/>
      <c r="C11" s="21"/>
      <c r="D11" s="25">
        <f>SUM(D5:D10)</f>
        <v>159.02548746940772</v>
      </c>
    </row>
    <row r="12" spans="1:5" ht="15.75" thickBot="1" x14ac:dyDescent="0.3">
      <c r="A12" s="14" t="s">
        <v>22</v>
      </c>
      <c r="B12" s="15"/>
      <c r="C12" s="15"/>
      <c r="D12" s="17">
        <f>D11*113</f>
        <v>17969.880084043074</v>
      </c>
    </row>
    <row r="14" spans="1:5" x14ac:dyDescent="0.25">
      <c r="A14" s="13" t="s">
        <v>23</v>
      </c>
      <c r="C14" s="2" t="s">
        <v>15</v>
      </c>
    </row>
    <row r="15" spans="1:5" x14ac:dyDescent="0.25">
      <c r="A15" s="1" t="s">
        <v>24</v>
      </c>
      <c r="B15" s="1">
        <v>0</v>
      </c>
      <c r="C15" s="1">
        <v>0</v>
      </c>
      <c r="D15" s="1">
        <v>0</v>
      </c>
      <c r="E15" t="s">
        <v>25</v>
      </c>
    </row>
    <row r="16" spans="1:5" x14ac:dyDescent="0.25">
      <c r="A16" s="1" t="s">
        <v>26</v>
      </c>
      <c r="B16" s="8">
        <v>0</v>
      </c>
      <c r="C16" s="7">
        <v>113</v>
      </c>
      <c r="D16" s="8">
        <f>B16/C16</f>
        <v>0</v>
      </c>
      <c r="E16" t="s">
        <v>27</v>
      </c>
    </row>
    <row r="17" spans="1:5" ht="15.75" thickBot="1" x14ac:dyDescent="0.3">
      <c r="A17" s="23" t="s">
        <v>28</v>
      </c>
      <c r="B17" s="24">
        <v>0</v>
      </c>
      <c r="C17" s="18">
        <v>113</v>
      </c>
      <c r="D17" s="24">
        <f>B17/C17</f>
        <v>0</v>
      </c>
      <c r="E17" t="s">
        <v>29</v>
      </c>
    </row>
    <row r="18" spans="1:5" x14ac:dyDescent="0.25">
      <c r="A18" s="20" t="s">
        <v>30</v>
      </c>
      <c r="B18" s="21"/>
      <c r="C18" s="21"/>
      <c r="D18" s="25">
        <f>SUM(D15:D17)</f>
        <v>0</v>
      </c>
    </row>
    <row r="19" spans="1:5" ht="15.75" thickBot="1" x14ac:dyDescent="0.3">
      <c r="A19" s="14" t="s">
        <v>31</v>
      </c>
      <c r="B19" s="15"/>
      <c r="C19" s="15"/>
      <c r="D19" s="17">
        <f>D18*85</f>
        <v>0</v>
      </c>
    </row>
    <row r="21" spans="1:5" x14ac:dyDescent="0.25">
      <c r="A21" s="1" t="s">
        <v>32</v>
      </c>
      <c r="B21" s="9">
        <v>0</v>
      </c>
      <c r="C21" s="1" t="s">
        <v>5</v>
      </c>
      <c r="D21" t="s">
        <v>33</v>
      </c>
    </row>
    <row r="22" spans="1:5" x14ac:dyDescent="0.25">
      <c r="A22" s="1" t="s">
        <v>39</v>
      </c>
      <c r="B22" s="1">
        <f>B21/10</f>
        <v>0</v>
      </c>
      <c r="C22" s="1" t="s">
        <v>34</v>
      </c>
      <c r="D22" t="s">
        <v>35</v>
      </c>
    </row>
    <row r="23" spans="1:5" x14ac:dyDescent="0.25">
      <c r="A23" s="1" t="s">
        <v>36</v>
      </c>
      <c r="B23" s="9">
        <f>D12+D19</f>
        <v>17969.880084043074</v>
      </c>
      <c r="C23" s="1" t="s">
        <v>34</v>
      </c>
    </row>
    <row r="25" spans="1:5" x14ac:dyDescent="0.25">
      <c r="A25" s="1" t="s">
        <v>37</v>
      </c>
      <c r="B25" s="11">
        <f>B23/113</f>
        <v>159.02548746940772</v>
      </c>
      <c r="C25" s="1" t="s">
        <v>38</v>
      </c>
    </row>
  </sheetData>
  <hyperlinks>
    <hyperlink ref="A5" r:id="rId1" xr:uid="{BAE243D3-9754-4A4E-8AE6-A1D3ECEFE834}"/>
    <hyperlink ref="A10" r:id="rId2" xr:uid="{AE4B9C7D-58A3-4A8A-A379-95A12942D1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Baseline_OPEX</vt:lpstr>
      <vt:lpstr>75%Chiller_OPEX</vt:lpstr>
      <vt:lpstr>50%Chiller_OPEX</vt:lpstr>
      <vt:lpstr>25%Chiller_OPEX</vt:lpstr>
      <vt:lpstr>5Barrel_OPEX</vt:lpstr>
      <vt:lpstr>10Barrel_OPEX</vt:lpstr>
      <vt:lpstr>20Barrel_OPEX</vt:lpstr>
      <vt:lpstr>36h_OPEX</vt:lpstr>
      <vt:lpstr>144h_OPEX</vt:lpstr>
      <vt:lpstr>288h_OPEX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Alexandra B [C B E]</dc:creator>
  <cp:lastModifiedBy>Jean, Alexandra B</cp:lastModifiedBy>
  <dcterms:created xsi:type="dcterms:W3CDTF">2024-12-09T15:30:01Z</dcterms:created>
  <dcterms:modified xsi:type="dcterms:W3CDTF">2026-04-22T19:09:31Z</dcterms:modified>
</cp:coreProperties>
</file>